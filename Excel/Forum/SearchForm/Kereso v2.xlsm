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2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zila\Documents\codes\Excel\Forum\SearchForm\"/>
    </mc:Choice>
  </mc:AlternateContent>
  <xr:revisionPtr revIDLastSave="0" documentId="8_{CCEE57F5-5724-4850-88A7-E83F0021FA9D}" xr6:coauthVersionLast="48" xr6:coauthVersionMax="48" xr10:uidLastSave="{00000000-0000-0000-0000-000000000000}"/>
  <bookViews>
    <workbookView xWindow="-108" yWindow="-108" windowWidth="23256" windowHeight="12576" xr2:uid="{00000000-000D-0000-FFFF-FFFF00000000}"/>
  </bookViews>
  <sheets>
    <sheet name="1.1.1" sheetId="16" r:id="rId1"/>
    <sheet name="Más odik" sheetId="17" r:id="rId2"/>
    <sheet name="Rejtett" sheetId="18" r:id="rId3"/>
    <sheet name="Üres" sheetId="19" r:id="rId4"/>
    <sheet name="Hosszabb munkalapnév" sheetId="1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5" l="1"/>
  <c r="G1" i="15"/>
  <c r="D10" i="15" a="1"/>
  <c r="D10" i="15" s="1"/>
  <c r="C10" i="15" a="1"/>
  <c r="C10" i="15" s="1"/>
  <c r="D9" i="15" a="1"/>
  <c r="D9" i="15" s="1"/>
  <c r="C9" i="15" a="1"/>
  <c r="C9" i="15" s="1"/>
  <c r="D8" i="15" a="1"/>
  <c r="D8" i="15" s="1"/>
  <c r="C8" i="15" a="1"/>
  <c r="C8" i="15" s="1"/>
  <c r="D7" i="15" a="1"/>
  <c r="D7" i="15" s="1"/>
  <c r="C7" i="15" a="1"/>
  <c r="C7" i="15" s="1"/>
  <c r="D6" i="15" a="1"/>
  <c r="D6" i="15" s="1"/>
  <c r="C6" i="15" a="1"/>
  <c r="C6" i="15" s="1"/>
  <c r="D5" i="15" a="1"/>
  <c r="D5" i="15" s="1"/>
  <c r="C5" i="15" a="1"/>
  <c r="C5" i="15" s="1"/>
  <c r="D4" i="15" a="1"/>
  <c r="D4" i="15" s="1"/>
  <c r="C4" i="15" a="1"/>
  <c r="C4" i="15" s="1"/>
  <c r="D3" i="15" a="1"/>
  <c r="D3" i="15" s="1"/>
  <c r="C3" i="15" a="1"/>
  <c r="C3" i="15" s="1"/>
  <c r="D2" i="15" a="1"/>
  <c r="D2" i="15" s="1"/>
  <c r="C2" i="15" a="1"/>
  <c r="C2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Szilárd</author>
  </authors>
  <commentList>
    <comment ref="E4" authorId="0" shapeId="0" xr:uid="{5EB750C3-DF43-4FFD-9B81-C638476FA380}">
      <text>
        <r>
          <rPr>
            <b/>
            <sz val="9"/>
            <color indexed="81"/>
            <rFont val="Tahoma"/>
            <family val="2"/>
            <charset val="238"/>
          </rPr>
          <t>Szilárd:</t>
        </r>
        <r>
          <rPr>
            <sz val="9"/>
            <color indexed="81"/>
            <rFont val="Tahoma"/>
            <family val="2"/>
            <charset val="238"/>
          </rPr>
          <t xml:space="preserve">
aggregate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<sst xmlns="http://schemas.openxmlformats.org/spreadsheetml/2006/main" count="651" uniqueCount="59">
  <si>
    <t>A</t>
  </si>
  <si>
    <t>B</t>
  </si>
  <si>
    <t>Aggregate</t>
  </si>
  <si>
    <t>SumProduct</t>
  </si>
  <si>
    <t>1.1.1 A népesség családi állapot, korcsoport és családi állás szerint</t>
  </si>
  <si>
    <t>Korcsoport, éves</t>
  </si>
  <si>
    <t>Nőtlen, hajadon</t>
  </si>
  <si>
    <t>Házas</t>
  </si>
  <si>
    <t>Özvegy</t>
  </si>
  <si>
    <t>Elvált</t>
  </si>
  <si>
    <t>Összesen</t>
  </si>
  <si>
    <t>családi állapotú</t>
  </si>
  <si>
    <t>Népesség összesen</t>
  </si>
  <si>
    <t xml:space="preserve">    –14</t>
  </si>
  <si>
    <t>–</t>
  </si>
  <si>
    <t>15–19</t>
  </si>
  <si>
    <t>20–24</t>
  </si>
  <si>
    <t>25–29</t>
  </si>
  <si>
    <t>30–39</t>
  </si>
  <si>
    <t>40–49</t>
  </si>
  <si>
    <t>50–59</t>
  </si>
  <si>
    <t>60–69</t>
  </si>
  <si>
    <t>70–79</t>
  </si>
  <si>
    <t>80–</t>
  </si>
  <si>
    <t>Ebből:</t>
  </si>
  <si>
    <t xml:space="preserve">    –29 (fiatalkorú)</t>
  </si>
  <si>
    <t>30–59 (középkorú)</t>
  </si>
  <si>
    <t>60–     (időskorú)</t>
  </si>
  <si>
    <t>15–29</t>
  </si>
  <si>
    <t>15–</t>
  </si>
  <si>
    <t>Férfi népesség</t>
  </si>
  <si>
    <t>Nő népesség</t>
  </si>
  <si>
    <t>Magánháztartásban élők közül</t>
  </si>
  <si>
    <t>Párkapcsolat tagja együtt</t>
  </si>
  <si>
    <t>Férj, feleség</t>
  </si>
  <si>
    <t>Élettárs</t>
  </si>
  <si>
    <t>Gyermeket egyedül nevelő szülő (apa, anya)</t>
  </si>
  <si>
    <t>Nőtlen, hajadon gyermek</t>
  </si>
  <si>
    <t>60–</t>
  </si>
  <si>
    <t>Egyedülálló együtt</t>
  </si>
  <si>
    <t>Férfi egyedülálló</t>
  </si>
  <si>
    <t>Nő egyedülálló</t>
  </si>
  <si>
    <t>Áprilisban 9,5%-kal nőttek az árak az előző év azonos hónapjához képest</t>
  </si>
  <si>
    <t>2022. áprilisban a fogyasztói árak átlagosan 9,5%-kal meghaladták az egy évvel korábbit. Az elmúlt egy évben az élelmiszerek és a tartós fogyasztási cikkek ára emelkedett a leginkább.</t>
  </si>
  <si>
    <t xml:space="preserve"> A fogyasztói árak egy hónap alatt átlagosan 1,6%-kal nőttek.</t>
  </si>
  <si>
    <t>12 hónap alatt, 2021. áprilishoz viszonyítva:</t>
  </si>
  <si>
    <r>
      <t>Az </t>
    </r>
    <r>
      <rPr>
        <b/>
        <sz val="10"/>
        <color rgb="FF333333"/>
        <rFont val="Roboto"/>
      </rPr>
      <t>élelmiszerek</t>
    </r>
    <r>
      <rPr>
        <sz val="10"/>
        <color rgb="FF333333"/>
        <rFont val="Roboto"/>
      </rPr>
      <t xml:space="preserve"> ára 15,6%-kal emelkedett, ezen belül a margariné 38,0, a kenyéré és a baromfihúsé 29,5, a sajté 28,9, a tojásé 26,7, a tejtermékeké 22,5, </t>
    </r>
  </si>
  <si>
    <t>a péksüteményeké 20,0, az idényáras élelmiszereké (burgonya, friss zöldség, friss hazai és déligyümölcs összesen) 17,4, a csokoládé, kakaóé 3,6, a cukoré 3,4%-kal.</t>
  </si>
  <si>
    <t xml:space="preserve"> A szeszes italok, dohányáruk átlagosan 5,0, ezen belül a szeszes italok 6,7%-kal drágultak. A tartós fogyasztási cikkekért 11,1, ezen belül a konyha- és egyéb bútorokért 17,8, </t>
  </si>
  <si>
    <t xml:space="preserve">a szobabútorokért 17,3, a használt személygépkocsikért 14,7, az új személygépkocsikért 10,6%-kal kellett többet fizetni. A lakásjavító és -karbantartó cikkek ára 25,3, </t>
  </si>
  <si>
    <t>az állateledeleké 19,8, a járműüzemanyagoké 12,7%-kal lett magasabb. A szolgáltatások díja 6,3%-kal emelkedett, ezen belül a lakásjavítás és -karbantartás 19,5, a járműjavítás és -karbantartás 14,6%-kal került többe.</t>
  </si>
  <si>
    <t>1 hónap alatt, 2022. márciushoz viszonyítva:</t>
  </si>
  <si>
    <r>
      <t>A fogyasztói árak átlagosan 1,6%-kal nőttek. Az </t>
    </r>
    <r>
      <rPr>
        <b/>
        <sz val="10"/>
        <color rgb="FF333333"/>
        <rFont val="Roboto"/>
      </rPr>
      <t>élelmiszerek</t>
    </r>
    <r>
      <rPr>
        <sz val="10"/>
        <color rgb="FF333333"/>
        <rFont val="Roboto"/>
      </rPr>
      <t xml:space="preserve"> 3,4%-kal drágultak, a főcsoporton belül a dió, mák, mogyoró csoportját leszámítva minden termékkör </t>
    </r>
  </si>
  <si>
    <t>ára magasabb lett: a tojásé 14,7, a sertéshúsé 9,8, a baromfihúsé 8,3, a párizsi, kolbászé 6,2, a sajté 5,9, a margariné 4,3, a tejtermékeké 3,6%-kal. A ruházkodási cikkek ára 2,7,</t>
  </si>
  <si>
    <t xml:space="preserve"> a tartós fogyasztási cikkeké 1,7%-kal nőtt, utóbbin belül a konyhai és egyéb bútorok 3,0, a szobabútorok 2,4, az új személygépkocsik 2,2, a használt személygépkocsik 1,5%-kal drágultak.</t>
  </si>
  <si>
    <t xml:space="preserve"> A lakásjavító és -karbantartó cikkek ára 5,0%-kal emelkedett. A szolgáltatásokért 0,7, ezen belül a belföldi üdülésért 2,0, a lakásjavítás és -karbantartásért 1,9%-kal kellett többet fizetni.</t>
  </si>
  <si>
    <t>népesség</t>
  </si>
  <si>
    <t>ha ezt a lapot elrejtjük akkor nem fog itt keresni</t>
  </si>
  <si>
    <t>ezt nem kell megtalálni: népesség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</si>
</sst>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1"/>
      <color indexed="8"/>
      <name val="Calibri"/>
      <family val="2"/>
      <charset val="238"/>
    </font>
    <font>
      <sz val="12"/>
      <name val="Times New Roman"/>
      <family val="1"/>
      <charset val="238"/>
    </font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i/>
      <u/>
      <sz val="11"/>
      <color theme="1"/>
      <name val="Calibri"/>
      <family val="2"/>
      <charset val="238"/>
      <scheme val="minor"/>
    </font>
    <font>
      <sz val="8"/>
      <color indexed="8"/>
      <name val="Arial"/>
      <family val="2"/>
      <charset val="238"/>
    </font>
    <font>
      <b/>
      <sz val="8"/>
      <color indexed="8"/>
      <name val="Arial"/>
      <family val="2"/>
      <charset val="238"/>
    </font>
    <font>
      <sz val="8"/>
      <name val="Arial"/>
      <family val="2"/>
      <charset val="238"/>
    </font>
    <font>
      <b/>
      <sz val="8"/>
      <name val="Arial"/>
      <family val="2"/>
      <charset val="238"/>
    </font>
    <font>
      <i/>
      <sz val="8"/>
      <color indexed="8"/>
      <name val="Arial"/>
      <family val="2"/>
      <charset val="238"/>
    </font>
    <font>
      <b/>
      <sz val="19"/>
      <color rgb="FF333333"/>
      <name val="Roboto Condensed"/>
    </font>
    <font>
      <sz val="14"/>
      <color rgb="FF333333"/>
      <name val="Roboto Condensed"/>
    </font>
    <font>
      <b/>
      <sz val="11"/>
      <color rgb="FF4266A2"/>
      <name val="Roboto"/>
    </font>
    <font>
      <sz val="10"/>
      <color rgb="FF333333"/>
      <name val="Roboto"/>
    </font>
    <font>
      <b/>
      <sz val="10"/>
      <color rgb="FF333333"/>
      <name val="Roboto"/>
    </font>
    <font>
      <u/>
      <sz val="8"/>
      <color indexed="8"/>
      <name val="Arial"/>
      <family val="2"/>
      <charset val="238"/>
    </font>
    <font>
      <u val="double"/>
      <sz val="8"/>
      <color indexed="8"/>
      <name val="Arial"/>
      <family val="2"/>
      <charset val="238"/>
    </font>
    <font>
      <b/>
      <i/>
      <sz val="8"/>
      <name val="Arial"/>
      <family val="2"/>
      <charset val="238"/>
    </font>
    <font>
      <i/>
      <u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1" fillId="0" borderId="0"/>
    <xf numFmtId="0" fontId="2" fillId="0" borderId="0"/>
    <xf numFmtId="0" fontId="4" fillId="0" borderId="0"/>
    <xf numFmtId="0" fontId="1" fillId="0" borderId="0"/>
    <xf numFmtId="0" fontId="1" fillId="0" borderId="0"/>
    <xf numFmtId="0" fontId="3" fillId="0" borderId="0"/>
    <xf numFmtId="0" fontId="4" fillId="0" borderId="0"/>
    <xf numFmtId="0" fontId="2" fillId="0" borderId="0"/>
  </cellStyleXfs>
  <cellXfs count="31">
    <xf numFmtId="0" fontId="0" fillId="0" borderId="0" xfId="0"/>
    <xf numFmtId="0" fontId="0" fillId="2" borderId="0" xfId="0" applyFill="1"/>
    <xf numFmtId="0" fontId="7" fillId="2" borderId="0" xfId="0" applyFont="1" applyFill="1"/>
    <xf numFmtId="14" fontId="0" fillId="0" borderId="0" xfId="0" applyNumberFormat="1"/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 indent="1"/>
    </xf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9" fillId="0" borderId="0" xfId="0" applyFont="1"/>
    <xf numFmtId="0" fontId="12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9" fillId="0" borderId="0" xfId="0" applyFont="1"/>
    <xf numFmtId="0" fontId="11" fillId="0" borderId="9" xfId="0" applyFont="1" applyBorder="1" applyAlignment="1">
      <alignment horizontal="center" vertical="center"/>
    </xf>
    <xf numFmtId="0" fontId="0" fillId="0" borderId="0" xfId="0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/>
    <xf numFmtId="0" fontId="21" fillId="0" borderId="0" xfId="0" applyFont="1"/>
  </cellXfs>
  <cellStyles count="9">
    <cellStyle name="Normál" xfId="0" builtinId="0"/>
    <cellStyle name="Normál 15 2" xfId="1" xr:uid="{00000000-0005-0000-0000-000001000000}"/>
    <cellStyle name="Normál 16 2" xfId="2" xr:uid="{00000000-0005-0000-0000-000002000000}"/>
    <cellStyle name="Normál 16 3" xfId="3" xr:uid="{00000000-0005-0000-0000-000003000000}"/>
    <cellStyle name="Normál 2" xfId="4" xr:uid="{00000000-0005-0000-0000-000004000000}"/>
    <cellStyle name="Normál 2 2" xfId="5" xr:uid="{00000000-0005-0000-0000-000005000000}"/>
    <cellStyle name="Normál 2 2 2" xfId="6" xr:uid="{00000000-0005-0000-0000-000006000000}"/>
    <cellStyle name="Normál 3" xfId="7" xr:uid="{00000000-0005-0000-0000-000007000000}"/>
    <cellStyle name="Normál 5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541020</xdr:colOff>
          <xdr:row>1</xdr:row>
          <xdr:rowOff>129540</xdr:rowOff>
        </xdr:from>
        <xdr:to>
          <xdr:col>9</xdr:col>
          <xdr:colOff>45720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Kereső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FF73-894C-47F1-98FC-6BCBCC83E8EC}">
  <sheetPr codeName="Munka2"/>
  <dimension ref="A1:F399"/>
  <sheetViews>
    <sheetView tabSelected="1" workbookViewId="0">
      <selection activeCell="I5" sqref="I5"/>
    </sheetView>
  </sheetViews>
  <sheetFormatPr defaultRowHeight="14.4" x14ac:dyDescent="0.3"/>
  <cols>
    <col min="1" max="1" width="48.88671875" bestFit="1" customWidth="1"/>
    <col min="2" max="3" width="7.109375" bestFit="1" customWidth="1"/>
    <col min="4" max="5" width="5.88671875" bestFit="1" customWidth="1"/>
    <col min="6" max="6" width="7.88671875" bestFit="1" customWidth="1"/>
  </cols>
  <sheetData>
    <row r="1" spans="1:6" x14ac:dyDescent="0.3">
      <c r="A1" s="19" t="s">
        <v>4</v>
      </c>
      <c r="B1" s="19"/>
      <c r="C1" s="19"/>
      <c r="D1" s="19"/>
      <c r="E1" s="19"/>
      <c r="F1" s="19"/>
    </row>
    <row r="2" spans="1:6" ht="20.399999999999999" x14ac:dyDescent="0.3">
      <c r="A2" s="8" t="s">
        <v>5</v>
      </c>
      <c r="B2" s="17" t="s">
        <v>6</v>
      </c>
      <c r="C2" s="17" t="s">
        <v>7</v>
      </c>
      <c r="D2" s="17" t="s">
        <v>8</v>
      </c>
      <c r="E2" s="18" t="s">
        <v>9</v>
      </c>
      <c r="F2" s="10" t="s">
        <v>10</v>
      </c>
    </row>
    <row r="3" spans="1:6" x14ac:dyDescent="0.3">
      <c r="A3" s="7"/>
      <c r="B3" s="6" t="s">
        <v>11</v>
      </c>
      <c r="C3" s="5"/>
      <c r="D3" s="5"/>
      <c r="E3" s="4"/>
      <c r="F3" s="9"/>
    </row>
    <row r="4" spans="1:6" x14ac:dyDescent="0.3">
      <c r="A4" s="23">
        <v>2001</v>
      </c>
      <c r="B4" s="23"/>
      <c r="C4" s="23"/>
      <c r="D4" s="23"/>
      <c r="E4" s="23"/>
      <c r="F4" s="23"/>
    </row>
    <row r="5" spans="1:6" x14ac:dyDescent="0.3">
      <c r="A5" s="12" t="s">
        <v>12</v>
      </c>
      <c r="B5" s="12"/>
      <c r="C5" s="12"/>
      <c r="D5" s="12"/>
      <c r="E5" s="12"/>
      <c r="F5" s="12"/>
    </row>
    <row r="6" spans="1:6" x14ac:dyDescent="0.3">
      <c r="A6" s="14" t="s">
        <v>13</v>
      </c>
      <c r="B6" s="13">
        <v>1694924</v>
      </c>
      <c r="C6" s="13">
        <v>5</v>
      </c>
      <c r="D6" s="13">
        <v>7</v>
      </c>
      <c r="E6" s="13" t="s">
        <v>14</v>
      </c>
      <c r="F6" s="13">
        <v>1694936</v>
      </c>
    </row>
    <row r="7" spans="1:6" x14ac:dyDescent="0.3">
      <c r="A7" s="14" t="s">
        <v>15</v>
      </c>
      <c r="B7" s="13">
        <v>662710</v>
      </c>
      <c r="C7" s="13">
        <v>5755</v>
      </c>
      <c r="D7" s="13">
        <v>34</v>
      </c>
      <c r="E7" s="13">
        <v>110</v>
      </c>
      <c r="F7" s="13">
        <v>668609</v>
      </c>
    </row>
    <row r="8" spans="1:6" x14ac:dyDescent="0.3">
      <c r="A8" s="14" t="s">
        <v>16</v>
      </c>
      <c r="B8" s="13">
        <v>689436</v>
      </c>
      <c r="C8" s="13">
        <v>112956</v>
      </c>
      <c r="D8" s="13">
        <v>200</v>
      </c>
      <c r="E8" s="13">
        <v>6710</v>
      </c>
      <c r="F8" s="13">
        <v>809302</v>
      </c>
    </row>
    <row r="9" spans="1:6" x14ac:dyDescent="0.3">
      <c r="A9" s="14" t="s">
        <v>17</v>
      </c>
      <c r="B9" s="13">
        <v>402515</v>
      </c>
      <c r="C9" s="13">
        <v>347973</v>
      </c>
      <c r="D9" s="13">
        <v>1313</v>
      </c>
      <c r="E9" s="13">
        <v>35190</v>
      </c>
      <c r="F9" s="13">
        <v>786991</v>
      </c>
    </row>
    <row r="10" spans="1:6" x14ac:dyDescent="0.3">
      <c r="A10" s="14" t="s">
        <v>18</v>
      </c>
      <c r="B10" s="13">
        <v>264237</v>
      </c>
      <c r="C10" s="13">
        <v>885495</v>
      </c>
      <c r="D10" s="13">
        <v>12195</v>
      </c>
      <c r="E10" s="13">
        <v>147664</v>
      </c>
      <c r="F10" s="13">
        <v>1309591</v>
      </c>
    </row>
    <row r="11" spans="1:6" x14ac:dyDescent="0.3">
      <c r="A11" s="14" t="s">
        <v>19</v>
      </c>
      <c r="B11" s="13">
        <v>139907</v>
      </c>
      <c r="C11" s="13">
        <v>1091906</v>
      </c>
      <c r="D11" s="13">
        <v>58543</v>
      </c>
      <c r="E11" s="13">
        <v>242953</v>
      </c>
      <c r="F11" s="13">
        <v>1533309</v>
      </c>
    </row>
    <row r="12" spans="1:6" x14ac:dyDescent="0.3">
      <c r="A12" s="14" t="s">
        <v>20</v>
      </c>
      <c r="B12" s="13">
        <v>67905</v>
      </c>
      <c r="C12" s="13">
        <v>932066</v>
      </c>
      <c r="D12" s="13">
        <v>132617</v>
      </c>
      <c r="E12" s="13">
        <v>181430</v>
      </c>
      <c r="F12" s="13">
        <v>1314018</v>
      </c>
    </row>
    <row r="13" spans="1:6" x14ac:dyDescent="0.3">
      <c r="A13" s="14" t="s">
        <v>21</v>
      </c>
      <c r="B13" s="13">
        <v>39309</v>
      </c>
      <c r="C13" s="13">
        <v>648996</v>
      </c>
      <c r="D13" s="13">
        <v>248078</v>
      </c>
      <c r="E13" s="13">
        <v>89223</v>
      </c>
      <c r="F13" s="13">
        <v>1025606</v>
      </c>
    </row>
    <row r="14" spans="1:6" x14ac:dyDescent="0.3">
      <c r="A14" s="14" t="s">
        <v>22</v>
      </c>
      <c r="B14" s="13">
        <v>29847</v>
      </c>
      <c r="C14" s="13">
        <v>354537</v>
      </c>
      <c r="D14" s="13">
        <v>347593</v>
      </c>
      <c r="E14" s="13">
        <v>44193</v>
      </c>
      <c r="F14" s="13">
        <v>776170</v>
      </c>
    </row>
    <row r="15" spans="1:6" x14ac:dyDescent="0.3">
      <c r="A15" s="14" t="s">
        <v>23</v>
      </c>
      <c r="B15" s="13">
        <v>13224</v>
      </c>
      <c r="C15" s="13">
        <v>66030</v>
      </c>
      <c r="D15" s="13">
        <v>189972</v>
      </c>
      <c r="E15" s="13">
        <v>10557</v>
      </c>
      <c r="F15" s="13">
        <v>279783</v>
      </c>
    </row>
    <row r="16" spans="1:6" x14ac:dyDescent="0.3">
      <c r="A16" s="20" t="s">
        <v>10</v>
      </c>
      <c r="B16" s="13">
        <v>4004014</v>
      </c>
      <c r="C16" s="13">
        <v>4445719</v>
      </c>
      <c r="D16" s="13">
        <v>990552</v>
      </c>
      <c r="E16" s="13">
        <v>758030</v>
      </c>
      <c r="F16" s="13">
        <v>10198315</v>
      </c>
    </row>
    <row r="17" spans="1:6" x14ac:dyDescent="0.3">
      <c r="A17" s="14" t="s">
        <v>24</v>
      </c>
      <c r="B17" s="15"/>
      <c r="C17" s="15"/>
      <c r="D17" s="15"/>
      <c r="E17" s="15"/>
      <c r="F17" s="15"/>
    </row>
    <row r="18" spans="1:6" x14ac:dyDescent="0.3">
      <c r="A18" s="16" t="s">
        <v>25</v>
      </c>
      <c r="B18" s="13">
        <v>3449585</v>
      </c>
      <c r="C18" s="13">
        <v>466689</v>
      </c>
      <c r="D18" s="13">
        <v>1554</v>
      </c>
      <c r="E18" s="13">
        <v>42010</v>
      </c>
      <c r="F18" s="13">
        <v>3959838</v>
      </c>
    </row>
    <row r="19" spans="1:6" x14ac:dyDescent="0.3">
      <c r="A19" s="16" t="s">
        <v>26</v>
      </c>
      <c r="B19" s="13">
        <v>472049</v>
      </c>
      <c r="C19" s="13">
        <v>2909467</v>
      </c>
      <c r="D19" s="13">
        <v>203355</v>
      </c>
      <c r="E19" s="13">
        <v>572047</v>
      </c>
      <c r="F19" s="13">
        <v>4156918</v>
      </c>
    </row>
    <row r="20" spans="1:6" x14ac:dyDescent="0.3">
      <c r="A20" s="16" t="s">
        <v>27</v>
      </c>
      <c r="B20" s="13">
        <v>82380</v>
      </c>
      <c r="C20" s="13">
        <v>1069563</v>
      </c>
      <c r="D20" s="13">
        <v>785643</v>
      </c>
      <c r="E20" s="13">
        <v>143973</v>
      </c>
      <c r="F20" s="13">
        <v>2081559</v>
      </c>
    </row>
    <row r="21" spans="1:6" x14ac:dyDescent="0.3">
      <c r="A21" s="16" t="s">
        <v>28</v>
      </c>
      <c r="B21" s="13">
        <v>1754661</v>
      </c>
      <c r="C21" s="13">
        <v>466684</v>
      </c>
      <c r="D21" s="13">
        <v>1547</v>
      </c>
      <c r="E21" s="13">
        <v>42010</v>
      </c>
      <c r="F21" s="13">
        <v>2264902</v>
      </c>
    </row>
    <row r="22" spans="1:6" x14ac:dyDescent="0.3">
      <c r="A22" s="16" t="s">
        <v>29</v>
      </c>
      <c r="B22" s="13">
        <v>2309090</v>
      </c>
      <c r="C22" s="13">
        <v>4445714</v>
      </c>
      <c r="D22" s="13">
        <v>990545</v>
      </c>
      <c r="E22" s="13">
        <v>758030</v>
      </c>
      <c r="F22" s="13">
        <v>8503379</v>
      </c>
    </row>
    <row r="23" spans="1:6" x14ac:dyDescent="0.3">
      <c r="A23" s="12" t="s">
        <v>30</v>
      </c>
      <c r="B23" s="12"/>
      <c r="C23" s="12"/>
      <c r="D23" s="12"/>
      <c r="E23" s="12"/>
      <c r="F23" s="12"/>
    </row>
    <row r="24" spans="1:6" x14ac:dyDescent="0.3">
      <c r="A24" s="14" t="s">
        <v>13</v>
      </c>
      <c r="B24" s="13">
        <v>867382</v>
      </c>
      <c r="C24" s="13" t="s">
        <v>14</v>
      </c>
      <c r="D24" s="13" t="s">
        <v>14</v>
      </c>
      <c r="E24" s="13" t="s">
        <v>14</v>
      </c>
      <c r="F24" s="13">
        <v>867382</v>
      </c>
    </row>
    <row r="25" spans="1:6" x14ac:dyDescent="0.3">
      <c r="A25" s="14" t="s">
        <v>15</v>
      </c>
      <c r="B25" s="13">
        <v>340400</v>
      </c>
      <c r="C25" s="13">
        <v>788</v>
      </c>
      <c r="D25" s="13">
        <v>3</v>
      </c>
      <c r="E25" s="13">
        <v>15</v>
      </c>
      <c r="F25" s="13">
        <v>341206</v>
      </c>
    </row>
    <row r="26" spans="1:6" x14ac:dyDescent="0.3">
      <c r="A26" s="14" t="s">
        <v>16</v>
      </c>
      <c r="B26" s="13">
        <v>380331</v>
      </c>
      <c r="C26" s="13">
        <v>32768</v>
      </c>
      <c r="D26" s="13">
        <v>21</v>
      </c>
      <c r="E26" s="13">
        <v>1486</v>
      </c>
      <c r="F26" s="13">
        <v>414606</v>
      </c>
    </row>
    <row r="27" spans="1:6" x14ac:dyDescent="0.3">
      <c r="A27" s="14" t="s">
        <v>17</v>
      </c>
      <c r="B27" s="13">
        <v>244068</v>
      </c>
      <c r="C27" s="13">
        <v>144328</v>
      </c>
      <c r="D27" s="13">
        <v>147</v>
      </c>
      <c r="E27" s="13">
        <v>11961</v>
      </c>
      <c r="F27" s="13">
        <v>400504</v>
      </c>
    </row>
    <row r="28" spans="1:6" x14ac:dyDescent="0.3">
      <c r="A28" s="14" t="s">
        <v>18</v>
      </c>
      <c r="B28" s="13">
        <v>176019</v>
      </c>
      <c r="C28" s="13">
        <v>421264</v>
      </c>
      <c r="D28" s="13">
        <v>1616</v>
      </c>
      <c r="E28" s="13">
        <v>60439</v>
      </c>
      <c r="F28" s="13">
        <v>659338</v>
      </c>
    </row>
    <row r="29" spans="1:6" x14ac:dyDescent="0.3">
      <c r="A29" s="14" t="s">
        <v>19</v>
      </c>
      <c r="B29" s="13">
        <v>97111</v>
      </c>
      <c r="C29" s="13">
        <v>535185</v>
      </c>
      <c r="D29" s="13">
        <v>10295</v>
      </c>
      <c r="E29" s="13">
        <v>105099</v>
      </c>
      <c r="F29" s="13">
        <v>747690</v>
      </c>
    </row>
    <row r="30" spans="1:6" x14ac:dyDescent="0.3">
      <c r="A30" s="14" t="s">
        <v>20</v>
      </c>
      <c r="B30" s="13">
        <v>40211</v>
      </c>
      <c r="C30" s="13">
        <v>474728</v>
      </c>
      <c r="D30" s="13">
        <v>21405</v>
      </c>
      <c r="E30" s="13">
        <v>78895</v>
      </c>
      <c r="F30" s="13">
        <v>615239</v>
      </c>
    </row>
    <row r="31" spans="1:6" x14ac:dyDescent="0.3">
      <c r="A31" s="14" t="s">
        <v>21</v>
      </c>
      <c r="B31" s="13">
        <v>19511</v>
      </c>
      <c r="C31" s="13">
        <v>344074</v>
      </c>
      <c r="D31" s="13">
        <v>35189</v>
      </c>
      <c r="E31" s="13">
        <v>33371</v>
      </c>
      <c r="F31" s="13">
        <v>432145</v>
      </c>
    </row>
    <row r="32" spans="1:6" x14ac:dyDescent="0.3">
      <c r="A32" s="14" t="s">
        <v>22</v>
      </c>
      <c r="B32" s="13">
        <v>9901</v>
      </c>
      <c r="C32" s="13">
        <v>212785</v>
      </c>
      <c r="D32" s="13">
        <v>52199</v>
      </c>
      <c r="E32" s="13">
        <v>12422</v>
      </c>
      <c r="F32" s="13">
        <v>287307</v>
      </c>
    </row>
    <row r="33" spans="1:6" x14ac:dyDescent="0.3">
      <c r="A33" s="14" t="s">
        <v>23</v>
      </c>
      <c r="B33" s="13">
        <v>3011</v>
      </c>
      <c r="C33" s="13">
        <v>47845</v>
      </c>
      <c r="D33" s="13">
        <v>32052</v>
      </c>
      <c r="E33" s="13">
        <v>2325</v>
      </c>
      <c r="F33" s="13">
        <v>85233</v>
      </c>
    </row>
    <row r="34" spans="1:6" x14ac:dyDescent="0.3">
      <c r="A34" s="15" t="s">
        <v>10</v>
      </c>
      <c r="B34" s="13">
        <v>2177945</v>
      </c>
      <c r="C34" s="13">
        <v>2213765</v>
      </c>
      <c r="D34" s="13">
        <v>152927</v>
      </c>
      <c r="E34" s="13">
        <v>306013</v>
      </c>
      <c r="F34" s="13">
        <v>4850650</v>
      </c>
    </row>
    <row r="35" spans="1:6" x14ac:dyDescent="0.3">
      <c r="A35" s="14" t="s">
        <v>24</v>
      </c>
      <c r="B35" s="15"/>
      <c r="C35" s="15"/>
      <c r="D35" s="15"/>
      <c r="E35" s="15"/>
      <c r="F35" s="15"/>
    </row>
    <row r="36" spans="1:6" x14ac:dyDescent="0.3">
      <c r="A36" s="16" t="s">
        <v>25</v>
      </c>
      <c r="B36" s="13">
        <v>1832181</v>
      </c>
      <c r="C36" s="13">
        <v>177884</v>
      </c>
      <c r="D36" s="13">
        <v>171</v>
      </c>
      <c r="E36" s="13">
        <v>13462</v>
      </c>
      <c r="F36" s="13">
        <v>2023698</v>
      </c>
    </row>
    <row r="37" spans="1:6" x14ac:dyDescent="0.3">
      <c r="A37" s="16" t="s">
        <v>26</v>
      </c>
      <c r="B37" s="13">
        <v>313341</v>
      </c>
      <c r="C37" s="13">
        <v>1431177</v>
      </c>
      <c r="D37" s="13">
        <v>33316</v>
      </c>
      <c r="E37" s="13">
        <v>244433</v>
      </c>
      <c r="F37" s="13">
        <v>2022267</v>
      </c>
    </row>
    <row r="38" spans="1:6" x14ac:dyDescent="0.3">
      <c r="A38" s="16" t="s">
        <v>27</v>
      </c>
      <c r="B38" s="13">
        <v>32423</v>
      </c>
      <c r="C38" s="13">
        <v>604704</v>
      </c>
      <c r="D38" s="13">
        <v>119440</v>
      </c>
      <c r="E38" s="13">
        <v>48118</v>
      </c>
      <c r="F38" s="13">
        <v>804685</v>
      </c>
    </row>
    <row r="39" spans="1:6" x14ac:dyDescent="0.3">
      <c r="A39" s="16" t="s">
        <v>28</v>
      </c>
      <c r="B39" s="13">
        <v>964799</v>
      </c>
      <c r="C39" s="13">
        <v>177884</v>
      </c>
      <c r="D39" s="13">
        <v>171</v>
      </c>
      <c r="E39" s="13">
        <v>13462</v>
      </c>
      <c r="F39" s="13">
        <v>1156316</v>
      </c>
    </row>
    <row r="40" spans="1:6" x14ac:dyDescent="0.3">
      <c r="A40" s="16" t="s">
        <v>29</v>
      </c>
      <c r="B40" s="13">
        <v>1310563</v>
      </c>
      <c r="C40" s="13">
        <v>2213765</v>
      </c>
      <c r="D40" s="13">
        <v>152927</v>
      </c>
      <c r="E40" s="13">
        <v>306013</v>
      </c>
      <c r="F40" s="13">
        <v>3983268</v>
      </c>
    </row>
    <row r="41" spans="1:6" x14ac:dyDescent="0.3">
      <c r="A41" s="12" t="s">
        <v>31</v>
      </c>
      <c r="B41" s="12"/>
      <c r="C41" s="12"/>
      <c r="D41" s="12"/>
      <c r="E41" s="12"/>
      <c r="F41" s="12"/>
    </row>
    <row r="42" spans="1:6" x14ac:dyDescent="0.3">
      <c r="A42" s="14" t="s">
        <v>13</v>
      </c>
      <c r="B42" s="13">
        <v>827542</v>
      </c>
      <c r="C42" s="13">
        <v>5</v>
      </c>
      <c r="D42" s="13">
        <v>7</v>
      </c>
      <c r="E42" s="13" t="s">
        <v>14</v>
      </c>
      <c r="F42" s="13">
        <v>827554</v>
      </c>
    </row>
    <row r="43" spans="1:6" x14ac:dyDescent="0.3">
      <c r="A43" s="14" t="s">
        <v>15</v>
      </c>
      <c r="B43" s="13">
        <v>322310</v>
      </c>
      <c r="C43" s="13">
        <v>4967</v>
      </c>
      <c r="D43" s="13">
        <v>31</v>
      </c>
      <c r="E43" s="13">
        <v>95</v>
      </c>
      <c r="F43" s="13">
        <v>327403</v>
      </c>
    </row>
    <row r="44" spans="1:6" x14ac:dyDescent="0.3">
      <c r="A44" s="14" t="s">
        <v>16</v>
      </c>
      <c r="B44" s="13">
        <v>309105</v>
      </c>
      <c r="C44" s="13">
        <v>80188</v>
      </c>
      <c r="D44" s="13">
        <v>179</v>
      </c>
      <c r="E44" s="13">
        <v>5224</v>
      </c>
      <c r="F44" s="13">
        <v>394696</v>
      </c>
    </row>
    <row r="45" spans="1:6" x14ac:dyDescent="0.3">
      <c r="A45" s="14" t="s">
        <v>17</v>
      </c>
      <c r="B45" s="13">
        <v>158447</v>
      </c>
      <c r="C45" s="13">
        <v>203645</v>
      </c>
      <c r="D45" s="13">
        <v>1166</v>
      </c>
      <c r="E45" s="13">
        <v>23229</v>
      </c>
      <c r="F45" s="13">
        <v>386487</v>
      </c>
    </row>
    <row r="46" spans="1:6" x14ac:dyDescent="0.3">
      <c r="A46" s="14" t="s">
        <v>18</v>
      </c>
      <c r="B46" s="13">
        <v>88218</v>
      </c>
      <c r="C46" s="13">
        <v>464231</v>
      </c>
      <c r="D46" s="13">
        <v>10579</v>
      </c>
      <c r="E46" s="13">
        <v>87225</v>
      </c>
      <c r="F46" s="13">
        <v>650253</v>
      </c>
    </row>
    <row r="47" spans="1:6" x14ac:dyDescent="0.3">
      <c r="A47" s="14" t="s">
        <v>19</v>
      </c>
      <c r="B47" s="13">
        <v>42796</v>
      </c>
      <c r="C47" s="13">
        <v>556721</v>
      </c>
      <c r="D47" s="13">
        <v>48248</v>
      </c>
      <c r="E47" s="13">
        <v>137854</v>
      </c>
      <c r="F47" s="13">
        <v>785619</v>
      </c>
    </row>
    <row r="48" spans="1:6" x14ac:dyDescent="0.3">
      <c r="A48" s="14" t="s">
        <v>20</v>
      </c>
      <c r="B48" s="13">
        <v>27694</v>
      </c>
      <c r="C48" s="13">
        <v>457338</v>
      </c>
      <c r="D48" s="13">
        <v>111212</v>
      </c>
      <c r="E48" s="13">
        <v>102535</v>
      </c>
      <c r="F48" s="13">
        <v>698779</v>
      </c>
    </row>
    <row r="49" spans="1:6" x14ac:dyDescent="0.3">
      <c r="A49" s="14" t="s">
        <v>21</v>
      </c>
      <c r="B49" s="13">
        <v>19798</v>
      </c>
      <c r="C49" s="13">
        <v>304922</v>
      </c>
      <c r="D49" s="13">
        <v>212889</v>
      </c>
      <c r="E49" s="13">
        <v>55852</v>
      </c>
      <c r="F49" s="13">
        <v>593461</v>
      </c>
    </row>
    <row r="50" spans="1:6" x14ac:dyDescent="0.3">
      <c r="A50" s="14" t="s">
        <v>22</v>
      </c>
      <c r="B50" s="13">
        <v>19946</v>
      </c>
      <c r="C50" s="13">
        <v>141752</v>
      </c>
      <c r="D50" s="13">
        <v>295394</v>
      </c>
      <c r="E50" s="13">
        <v>31771</v>
      </c>
      <c r="F50" s="13">
        <v>488863</v>
      </c>
    </row>
    <row r="51" spans="1:6" x14ac:dyDescent="0.3">
      <c r="A51" s="14" t="s">
        <v>23</v>
      </c>
      <c r="B51" s="13">
        <v>10213</v>
      </c>
      <c r="C51" s="13">
        <v>18185</v>
      </c>
      <c r="D51" s="13">
        <v>157920</v>
      </c>
      <c r="E51" s="13">
        <v>8232</v>
      </c>
      <c r="F51" s="13">
        <v>194550</v>
      </c>
    </row>
    <row r="52" spans="1:6" x14ac:dyDescent="0.3">
      <c r="A52" s="21" t="s">
        <v>10</v>
      </c>
      <c r="B52" s="13">
        <v>1826069</v>
      </c>
      <c r="C52" s="13">
        <v>2231954</v>
      </c>
      <c r="D52" s="13">
        <v>837625</v>
      </c>
      <c r="E52" s="13">
        <v>452017</v>
      </c>
      <c r="F52" s="13">
        <v>5347665</v>
      </c>
    </row>
    <row r="53" spans="1:6" x14ac:dyDescent="0.3">
      <c r="A53" s="22" t="s">
        <v>24</v>
      </c>
      <c r="B53" s="15"/>
      <c r="C53" s="15"/>
      <c r="D53" s="15"/>
      <c r="E53" s="15"/>
      <c r="F53" s="15"/>
    </row>
    <row r="54" spans="1:6" x14ac:dyDescent="0.3">
      <c r="A54" s="16" t="s">
        <v>25</v>
      </c>
      <c r="B54" s="13">
        <v>1617404</v>
      </c>
      <c r="C54" s="13">
        <v>288805</v>
      </c>
      <c r="D54" s="13">
        <v>1383</v>
      </c>
      <c r="E54" s="13">
        <v>28548</v>
      </c>
      <c r="F54" s="13">
        <v>1936140</v>
      </c>
    </row>
    <row r="55" spans="1:6" x14ac:dyDescent="0.3">
      <c r="A55" s="16" t="s">
        <v>26</v>
      </c>
      <c r="B55" s="13">
        <v>158708</v>
      </c>
      <c r="C55" s="13">
        <v>1478290</v>
      </c>
      <c r="D55" s="13">
        <v>170039</v>
      </c>
      <c r="E55" s="13">
        <v>327614</v>
      </c>
      <c r="F55" s="13">
        <v>2134651</v>
      </c>
    </row>
    <row r="56" spans="1:6" x14ac:dyDescent="0.3">
      <c r="A56" s="16" t="s">
        <v>27</v>
      </c>
      <c r="B56" s="13">
        <v>49957</v>
      </c>
      <c r="C56" s="13">
        <v>464859</v>
      </c>
      <c r="D56" s="13">
        <v>666203</v>
      </c>
      <c r="E56" s="13">
        <v>95855</v>
      </c>
      <c r="F56" s="13">
        <v>1276874</v>
      </c>
    </row>
    <row r="57" spans="1:6" x14ac:dyDescent="0.3">
      <c r="A57" s="16" t="s">
        <v>28</v>
      </c>
      <c r="B57" s="13">
        <v>789862</v>
      </c>
      <c r="C57" s="13">
        <v>288800</v>
      </c>
      <c r="D57" s="13">
        <v>1376</v>
      </c>
      <c r="E57" s="13">
        <v>28548</v>
      </c>
      <c r="F57" s="13">
        <v>1108586</v>
      </c>
    </row>
    <row r="58" spans="1:6" x14ac:dyDescent="0.3">
      <c r="A58" s="16" t="s">
        <v>29</v>
      </c>
      <c r="B58" s="13">
        <v>998527</v>
      </c>
      <c r="C58" s="13">
        <v>2231949</v>
      </c>
      <c r="D58" s="13">
        <v>837618</v>
      </c>
      <c r="E58" s="13">
        <v>452017</v>
      </c>
      <c r="F58" s="13">
        <v>4520111</v>
      </c>
    </row>
    <row r="59" spans="1:6" x14ac:dyDescent="0.3">
      <c r="A59" s="12" t="s">
        <v>32</v>
      </c>
      <c r="B59" s="12"/>
      <c r="C59" s="12"/>
      <c r="D59" s="12"/>
      <c r="E59" s="12"/>
      <c r="F59" s="12"/>
    </row>
    <row r="60" spans="1:6" x14ac:dyDescent="0.3">
      <c r="A60" s="12" t="s">
        <v>33</v>
      </c>
      <c r="B60" s="12"/>
      <c r="C60" s="12"/>
      <c r="D60" s="12"/>
      <c r="E60" s="12"/>
      <c r="F60" s="12"/>
    </row>
    <row r="61" spans="1:6" x14ac:dyDescent="0.3">
      <c r="A61" s="14" t="s">
        <v>13</v>
      </c>
      <c r="B61" s="13">
        <v>147</v>
      </c>
      <c r="C61" s="13">
        <v>4</v>
      </c>
      <c r="D61" s="13" t="s">
        <v>14</v>
      </c>
      <c r="E61" s="13" t="s">
        <v>14</v>
      </c>
      <c r="F61" s="13">
        <v>151</v>
      </c>
    </row>
    <row r="62" spans="1:6" x14ac:dyDescent="0.3">
      <c r="A62" s="14" t="s">
        <v>15</v>
      </c>
      <c r="B62" s="13">
        <v>13743</v>
      </c>
      <c r="C62" s="13">
        <v>5157</v>
      </c>
      <c r="D62" s="13">
        <v>2</v>
      </c>
      <c r="E62" s="13">
        <v>26</v>
      </c>
      <c r="F62" s="13">
        <v>18928</v>
      </c>
    </row>
    <row r="63" spans="1:6" x14ac:dyDescent="0.3">
      <c r="A63" s="14" t="s">
        <v>16</v>
      </c>
      <c r="B63" s="13">
        <v>75352</v>
      </c>
      <c r="C63" s="13">
        <v>102366</v>
      </c>
      <c r="D63" s="13">
        <v>33</v>
      </c>
      <c r="E63" s="13">
        <v>1668</v>
      </c>
      <c r="F63" s="13">
        <v>179419</v>
      </c>
    </row>
    <row r="64" spans="1:6" x14ac:dyDescent="0.3">
      <c r="A64" s="14" t="s">
        <v>17</v>
      </c>
      <c r="B64" s="13">
        <v>87749</v>
      </c>
      <c r="C64" s="13">
        <v>323607</v>
      </c>
      <c r="D64" s="13">
        <v>351</v>
      </c>
      <c r="E64" s="13">
        <v>10913</v>
      </c>
      <c r="F64" s="13">
        <v>422620</v>
      </c>
    </row>
    <row r="65" spans="1:6" x14ac:dyDescent="0.3">
      <c r="A65" s="14" t="s">
        <v>18</v>
      </c>
      <c r="B65" s="13">
        <v>67266</v>
      </c>
      <c r="C65" s="13">
        <v>847295</v>
      </c>
      <c r="D65" s="13">
        <v>2993</v>
      </c>
      <c r="E65" s="13">
        <v>48299</v>
      </c>
      <c r="F65" s="13">
        <v>965853</v>
      </c>
    </row>
    <row r="66" spans="1:6" x14ac:dyDescent="0.3">
      <c r="A66" s="14" t="s">
        <v>19</v>
      </c>
      <c r="B66" s="13">
        <v>26810</v>
      </c>
      <c r="C66" s="13">
        <v>1051160</v>
      </c>
      <c r="D66" s="13">
        <v>9979</v>
      </c>
      <c r="E66" s="13">
        <v>67669</v>
      </c>
      <c r="F66" s="13">
        <v>1155618</v>
      </c>
    </row>
    <row r="67" spans="1:6" x14ac:dyDescent="0.3">
      <c r="A67" s="14" t="s">
        <v>20</v>
      </c>
      <c r="B67" s="13">
        <v>9349</v>
      </c>
      <c r="C67" s="13">
        <v>900842</v>
      </c>
      <c r="D67" s="13">
        <v>13525</v>
      </c>
      <c r="E67" s="13">
        <v>42150</v>
      </c>
      <c r="F67" s="13">
        <v>965866</v>
      </c>
    </row>
    <row r="68" spans="1:6" x14ac:dyDescent="0.3">
      <c r="A68" s="14" t="s">
        <v>21</v>
      </c>
      <c r="B68" s="13">
        <v>3329</v>
      </c>
      <c r="C68" s="13">
        <v>632368</v>
      </c>
      <c r="D68" s="13">
        <v>12092</v>
      </c>
      <c r="E68" s="13">
        <v>14832</v>
      </c>
      <c r="F68" s="13">
        <v>662621</v>
      </c>
    </row>
    <row r="69" spans="1:6" x14ac:dyDescent="0.3">
      <c r="A69" s="14" t="s">
        <v>22</v>
      </c>
      <c r="B69" s="13">
        <v>1065</v>
      </c>
      <c r="C69" s="13">
        <v>344694</v>
      </c>
      <c r="D69" s="13">
        <v>7261</v>
      </c>
      <c r="E69" s="13">
        <v>3999</v>
      </c>
      <c r="F69" s="13">
        <v>357019</v>
      </c>
    </row>
    <row r="70" spans="1:6" x14ac:dyDescent="0.3">
      <c r="A70" s="14" t="s">
        <v>23</v>
      </c>
      <c r="B70" s="13">
        <v>247</v>
      </c>
      <c r="C70" s="13">
        <v>62904</v>
      </c>
      <c r="D70" s="13">
        <v>1755</v>
      </c>
      <c r="E70" s="13">
        <v>585</v>
      </c>
      <c r="F70" s="13">
        <v>65491</v>
      </c>
    </row>
    <row r="71" spans="1:6" x14ac:dyDescent="0.3">
      <c r="A71" s="15" t="s">
        <v>10</v>
      </c>
      <c r="B71" s="13">
        <v>285057</v>
      </c>
      <c r="C71" s="13">
        <v>4270397</v>
      </c>
      <c r="D71" s="13">
        <v>47991</v>
      </c>
      <c r="E71" s="13">
        <v>190141</v>
      </c>
      <c r="F71" s="13">
        <v>4793586</v>
      </c>
    </row>
    <row r="72" spans="1:6" x14ac:dyDescent="0.3">
      <c r="A72" s="14" t="s">
        <v>24</v>
      </c>
      <c r="B72" s="13"/>
      <c r="C72" s="13"/>
      <c r="D72" s="13"/>
      <c r="E72" s="13"/>
      <c r="F72" s="13"/>
    </row>
    <row r="73" spans="1:6" x14ac:dyDescent="0.3">
      <c r="A73" s="16" t="s">
        <v>25</v>
      </c>
      <c r="B73" s="13">
        <v>176991</v>
      </c>
      <c r="C73" s="13">
        <v>431134</v>
      </c>
      <c r="D73" s="13">
        <v>386</v>
      </c>
      <c r="E73" s="13">
        <v>12607</v>
      </c>
      <c r="F73" s="13">
        <v>621118</v>
      </c>
    </row>
    <row r="74" spans="1:6" x14ac:dyDescent="0.3">
      <c r="A74" s="16" t="s">
        <v>26</v>
      </c>
      <c r="B74" s="13">
        <v>103425</v>
      </c>
      <c r="C74" s="13">
        <v>2799297</v>
      </c>
      <c r="D74" s="13">
        <v>26497</v>
      </c>
      <c r="E74" s="13">
        <v>158118</v>
      </c>
      <c r="F74" s="13">
        <v>3087337</v>
      </c>
    </row>
    <row r="75" spans="1:6" x14ac:dyDescent="0.3">
      <c r="A75" s="16" t="s">
        <v>27</v>
      </c>
      <c r="B75" s="13">
        <v>4641</v>
      </c>
      <c r="C75" s="13">
        <v>1039966</v>
      </c>
      <c r="D75" s="13">
        <v>21108</v>
      </c>
      <c r="E75" s="13">
        <v>19416</v>
      </c>
      <c r="F75" s="13">
        <v>1085131</v>
      </c>
    </row>
    <row r="76" spans="1:6" x14ac:dyDescent="0.3">
      <c r="A76" s="16" t="s">
        <v>28</v>
      </c>
      <c r="B76" s="13">
        <v>176844</v>
      </c>
      <c r="C76" s="13">
        <v>431130</v>
      </c>
      <c r="D76" s="13">
        <v>386</v>
      </c>
      <c r="E76" s="13">
        <v>12607</v>
      </c>
      <c r="F76" s="13">
        <v>620967</v>
      </c>
    </row>
    <row r="77" spans="1:6" x14ac:dyDescent="0.3">
      <c r="A77" s="16" t="s">
        <v>29</v>
      </c>
      <c r="B77" s="13">
        <v>284910</v>
      </c>
      <c r="C77" s="13">
        <v>4270393</v>
      </c>
      <c r="D77" s="13">
        <v>47991</v>
      </c>
      <c r="E77" s="13">
        <v>190141</v>
      </c>
      <c r="F77" s="13">
        <v>4793435</v>
      </c>
    </row>
    <row r="78" spans="1:6" x14ac:dyDescent="0.3">
      <c r="A78" s="12" t="s">
        <v>34</v>
      </c>
      <c r="B78" s="12"/>
      <c r="C78" s="12"/>
      <c r="D78" s="12"/>
      <c r="E78" s="12"/>
      <c r="F78" s="12"/>
    </row>
    <row r="79" spans="1:6" x14ac:dyDescent="0.3">
      <c r="A79" s="14" t="s">
        <v>13</v>
      </c>
      <c r="B79" s="13" t="s">
        <v>14</v>
      </c>
      <c r="C79" s="13">
        <v>4</v>
      </c>
      <c r="D79" s="13" t="s">
        <v>14</v>
      </c>
      <c r="E79" s="13" t="s">
        <v>14</v>
      </c>
      <c r="F79" s="13">
        <v>4</v>
      </c>
    </row>
    <row r="80" spans="1:6" x14ac:dyDescent="0.3">
      <c r="A80" s="14" t="s">
        <v>15</v>
      </c>
      <c r="B80" s="13" t="s">
        <v>14</v>
      </c>
      <c r="C80" s="13">
        <v>5138</v>
      </c>
      <c r="D80" s="13" t="s">
        <v>14</v>
      </c>
      <c r="E80" s="13" t="s">
        <v>14</v>
      </c>
      <c r="F80" s="13">
        <v>5138</v>
      </c>
    </row>
    <row r="81" spans="1:6" x14ac:dyDescent="0.3">
      <c r="A81" s="14" t="s">
        <v>16</v>
      </c>
      <c r="B81" s="13" t="s">
        <v>14</v>
      </c>
      <c r="C81" s="13">
        <v>101883</v>
      </c>
      <c r="D81" s="13" t="s">
        <v>14</v>
      </c>
      <c r="E81" s="13" t="s">
        <v>14</v>
      </c>
      <c r="F81" s="13">
        <v>101883</v>
      </c>
    </row>
    <row r="82" spans="1:6" x14ac:dyDescent="0.3">
      <c r="A82" s="14" t="s">
        <v>17</v>
      </c>
      <c r="B82" s="13" t="s">
        <v>14</v>
      </c>
      <c r="C82" s="13">
        <v>321905</v>
      </c>
      <c r="D82" s="13" t="s">
        <v>14</v>
      </c>
      <c r="E82" s="13" t="s">
        <v>14</v>
      </c>
      <c r="F82" s="13">
        <v>321905</v>
      </c>
    </row>
    <row r="83" spans="1:6" x14ac:dyDescent="0.3">
      <c r="A83" s="14" t="s">
        <v>18</v>
      </c>
      <c r="B83" s="13" t="s">
        <v>14</v>
      </c>
      <c r="C83" s="13">
        <v>842326</v>
      </c>
      <c r="D83" s="13" t="s">
        <v>14</v>
      </c>
      <c r="E83" s="13" t="s">
        <v>14</v>
      </c>
      <c r="F83" s="13">
        <v>842326</v>
      </c>
    </row>
    <row r="84" spans="1:6" x14ac:dyDescent="0.3">
      <c r="A84" s="14" t="s">
        <v>19</v>
      </c>
      <c r="B84" s="13" t="s">
        <v>14</v>
      </c>
      <c r="C84" s="13">
        <v>1044381</v>
      </c>
      <c r="D84" s="13" t="s">
        <v>14</v>
      </c>
      <c r="E84" s="13" t="s">
        <v>14</v>
      </c>
      <c r="F84" s="13">
        <v>1044381</v>
      </c>
    </row>
    <row r="85" spans="1:6" x14ac:dyDescent="0.3">
      <c r="A85" s="14" t="s">
        <v>20</v>
      </c>
      <c r="B85" s="13" t="s">
        <v>14</v>
      </c>
      <c r="C85" s="13">
        <v>896670</v>
      </c>
      <c r="D85" s="13" t="s">
        <v>14</v>
      </c>
      <c r="E85" s="13" t="s">
        <v>14</v>
      </c>
      <c r="F85" s="13">
        <v>896670</v>
      </c>
    </row>
    <row r="86" spans="1:6" x14ac:dyDescent="0.3">
      <c r="A86" s="14" t="s">
        <v>21</v>
      </c>
      <c r="B86" s="13" t="s">
        <v>14</v>
      </c>
      <c r="C86" s="13">
        <v>630852</v>
      </c>
      <c r="D86" s="13" t="s">
        <v>14</v>
      </c>
      <c r="E86" s="13" t="s">
        <v>14</v>
      </c>
      <c r="F86" s="13">
        <v>630852</v>
      </c>
    </row>
    <row r="87" spans="1:6" x14ac:dyDescent="0.3">
      <c r="A87" s="14" t="s">
        <v>22</v>
      </c>
      <c r="B87" s="13" t="s">
        <v>14</v>
      </c>
      <c r="C87" s="13">
        <v>344304</v>
      </c>
      <c r="D87" s="13" t="s">
        <v>14</v>
      </c>
      <c r="E87" s="13" t="s">
        <v>14</v>
      </c>
      <c r="F87" s="13">
        <v>344304</v>
      </c>
    </row>
    <row r="88" spans="1:6" x14ac:dyDescent="0.3">
      <c r="A88" s="14" t="s">
        <v>23</v>
      </c>
      <c r="B88" s="13" t="s">
        <v>14</v>
      </c>
      <c r="C88" s="13">
        <v>62841</v>
      </c>
      <c r="D88" s="13" t="s">
        <v>14</v>
      </c>
      <c r="E88" s="13" t="s">
        <v>14</v>
      </c>
      <c r="F88" s="13">
        <v>62841</v>
      </c>
    </row>
    <row r="89" spans="1:6" x14ac:dyDescent="0.3">
      <c r="A89" s="15" t="s">
        <v>10</v>
      </c>
      <c r="B89" s="13" t="s">
        <v>14</v>
      </c>
      <c r="C89" s="13">
        <v>4250304</v>
      </c>
      <c r="D89" s="13" t="s">
        <v>14</v>
      </c>
      <c r="E89" s="13" t="s">
        <v>14</v>
      </c>
      <c r="F89" s="13">
        <v>4250304</v>
      </c>
    </row>
    <row r="90" spans="1:6" x14ac:dyDescent="0.3">
      <c r="A90" s="14" t="s">
        <v>24</v>
      </c>
      <c r="B90" s="15"/>
      <c r="C90" s="15"/>
      <c r="D90" s="15"/>
      <c r="E90" s="15"/>
      <c r="F90" s="15"/>
    </row>
    <row r="91" spans="1:6" x14ac:dyDescent="0.3">
      <c r="A91" s="16" t="s">
        <v>25</v>
      </c>
      <c r="B91" s="13" t="s">
        <v>14</v>
      </c>
      <c r="C91" s="13">
        <v>428930</v>
      </c>
      <c r="D91" s="13" t="s">
        <v>14</v>
      </c>
      <c r="E91" s="13" t="s">
        <v>14</v>
      </c>
      <c r="F91" s="13">
        <v>428930</v>
      </c>
    </row>
    <row r="92" spans="1:6" x14ac:dyDescent="0.3">
      <c r="A92" s="16" t="s">
        <v>26</v>
      </c>
      <c r="B92" s="13" t="s">
        <v>14</v>
      </c>
      <c r="C92" s="13">
        <v>2783377</v>
      </c>
      <c r="D92" s="13" t="s">
        <v>14</v>
      </c>
      <c r="E92" s="13" t="s">
        <v>14</v>
      </c>
      <c r="F92" s="13">
        <v>2783377</v>
      </c>
    </row>
    <row r="93" spans="1:6" x14ac:dyDescent="0.3">
      <c r="A93" s="16" t="s">
        <v>27</v>
      </c>
      <c r="B93" s="13" t="s">
        <v>14</v>
      </c>
      <c r="C93" s="13">
        <v>1037997</v>
      </c>
      <c r="D93" s="13" t="s">
        <v>14</v>
      </c>
      <c r="E93" s="13" t="s">
        <v>14</v>
      </c>
      <c r="F93" s="13">
        <v>1037997</v>
      </c>
    </row>
    <row r="94" spans="1:6" x14ac:dyDescent="0.3">
      <c r="A94" s="16" t="s">
        <v>28</v>
      </c>
      <c r="B94" s="13" t="s">
        <v>14</v>
      </c>
      <c r="C94" s="13">
        <v>428926</v>
      </c>
      <c r="D94" s="13" t="s">
        <v>14</v>
      </c>
      <c r="E94" s="13" t="s">
        <v>14</v>
      </c>
      <c r="F94" s="13">
        <v>428926</v>
      </c>
    </row>
    <row r="95" spans="1:6" x14ac:dyDescent="0.3">
      <c r="A95" s="16" t="s">
        <v>29</v>
      </c>
      <c r="B95" s="13" t="s">
        <v>14</v>
      </c>
      <c r="C95" s="13">
        <v>4250300</v>
      </c>
      <c r="D95" s="13" t="s">
        <v>14</v>
      </c>
      <c r="E95" s="13" t="s">
        <v>14</v>
      </c>
      <c r="F95" s="13">
        <v>4250300</v>
      </c>
    </row>
    <row r="96" spans="1:6" x14ac:dyDescent="0.3">
      <c r="A96" s="12" t="s">
        <v>35</v>
      </c>
      <c r="B96" s="12"/>
      <c r="C96" s="12"/>
      <c r="D96" s="12"/>
      <c r="E96" s="12"/>
      <c r="F96" s="12"/>
    </row>
    <row r="97" spans="1:6" x14ac:dyDescent="0.3">
      <c r="A97" s="14" t="s">
        <v>13</v>
      </c>
      <c r="B97" s="13">
        <v>147</v>
      </c>
      <c r="C97" s="13" t="s">
        <v>14</v>
      </c>
      <c r="D97" s="13" t="s">
        <v>14</v>
      </c>
      <c r="E97" s="13" t="s">
        <v>14</v>
      </c>
      <c r="F97" s="13">
        <v>147</v>
      </c>
    </row>
    <row r="98" spans="1:6" x14ac:dyDescent="0.3">
      <c r="A98" s="14" t="s">
        <v>15</v>
      </c>
      <c r="B98" s="13">
        <v>13743</v>
      </c>
      <c r="C98" s="13">
        <v>19</v>
      </c>
      <c r="D98" s="13">
        <v>2</v>
      </c>
      <c r="E98" s="13">
        <v>26</v>
      </c>
      <c r="F98" s="13">
        <v>13790</v>
      </c>
    </row>
    <row r="99" spans="1:6" x14ac:dyDescent="0.3">
      <c r="A99" s="14" t="s">
        <v>16</v>
      </c>
      <c r="B99" s="13">
        <v>75352</v>
      </c>
      <c r="C99" s="13">
        <v>483</v>
      </c>
      <c r="D99" s="13">
        <v>33</v>
      </c>
      <c r="E99" s="13">
        <v>1668</v>
      </c>
      <c r="F99" s="13">
        <v>77536</v>
      </c>
    </row>
    <row r="100" spans="1:6" x14ac:dyDescent="0.3">
      <c r="A100" s="14" t="s">
        <v>17</v>
      </c>
      <c r="B100" s="13">
        <v>87749</v>
      </c>
      <c r="C100" s="13">
        <v>1702</v>
      </c>
      <c r="D100" s="13">
        <v>351</v>
      </c>
      <c r="E100" s="13">
        <v>10913</v>
      </c>
      <c r="F100" s="13">
        <v>100715</v>
      </c>
    </row>
    <row r="101" spans="1:6" x14ac:dyDescent="0.3">
      <c r="A101" s="14" t="s">
        <v>18</v>
      </c>
      <c r="B101" s="13">
        <v>67266</v>
      </c>
      <c r="C101" s="13">
        <v>4969</v>
      </c>
      <c r="D101" s="13">
        <v>2993</v>
      </c>
      <c r="E101" s="13">
        <v>48299</v>
      </c>
      <c r="F101" s="13">
        <v>123527</v>
      </c>
    </row>
    <row r="102" spans="1:6" x14ac:dyDescent="0.3">
      <c r="A102" s="14" t="s">
        <v>19</v>
      </c>
      <c r="B102" s="13">
        <v>26810</v>
      </c>
      <c r="C102" s="13">
        <v>6779</v>
      </c>
      <c r="D102" s="13">
        <v>9979</v>
      </c>
      <c r="E102" s="13">
        <v>67669</v>
      </c>
      <c r="F102" s="13">
        <v>111237</v>
      </c>
    </row>
    <row r="103" spans="1:6" x14ac:dyDescent="0.3">
      <c r="A103" s="14" t="s">
        <v>20</v>
      </c>
      <c r="B103" s="13">
        <v>9349</v>
      </c>
      <c r="C103" s="13">
        <v>4172</v>
      </c>
      <c r="D103" s="13">
        <v>13525</v>
      </c>
      <c r="E103" s="13">
        <v>42150</v>
      </c>
      <c r="F103" s="13">
        <v>69196</v>
      </c>
    </row>
    <row r="104" spans="1:6" x14ac:dyDescent="0.3">
      <c r="A104" s="14" t="s">
        <v>21</v>
      </c>
      <c r="B104" s="13">
        <v>3329</v>
      </c>
      <c r="C104" s="13">
        <v>1516</v>
      </c>
      <c r="D104" s="13">
        <v>12092</v>
      </c>
      <c r="E104" s="13">
        <v>14832</v>
      </c>
      <c r="F104" s="13">
        <v>31769</v>
      </c>
    </row>
    <row r="105" spans="1:6" x14ac:dyDescent="0.3">
      <c r="A105" s="14" t="s">
        <v>22</v>
      </c>
      <c r="B105" s="13">
        <v>1065</v>
      </c>
      <c r="C105" s="13">
        <v>390</v>
      </c>
      <c r="D105" s="13">
        <v>7261</v>
      </c>
      <c r="E105" s="13">
        <v>3999</v>
      </c>
      <c r="F105" s="13">
        <v>12715</v>
      </c>
    </row>
    <row r="106" spans="1:6" x14ac:dyDescent="0.3">
      <c r="A106" s="14" t="s">
        <v>23</v>
      </c>
      <c r="B106" s="13">
        <v>247</v>
      </c>
      <c r="C106" s="13">
        <v>63</v>
      </c>
      <c r="D106" s="13">
        <v>1755</v>
      </c>
      <c r="E106" s="13">
        <v>585</v>
      </c>
      <c r="F106" s="13">
        <v>2650</v>
      </c>
    </row>
    <row r="107" spans="1:6" x14ac:dyDescent="0.3">
      <c r="A107" s="15" t="s">
        <v>10</v>
      </c>
      <c r="B107" s="13">
        <v>285057</v>
      </c>
      <c r="C107" s="13">
        <v>20093</v>
      </c>
      <c r="D107" s="13">
        <v>47991</v>
      </c>
      <c r="E107" s="13">
        <v>190141</v>
      </c>
      <c r="F107" s="13">
        <v>543282</v>
      </c>
    </row>
    <row r="108" spans="1:6" x14ac:dyDescent="0.3">
      <c r="A108" s="14" t="s">
        <v>24</v>
      </c>
      <c r="B108" s="15"/>
      <c r="C108" s="15"/>
      <c r="D108" s="15"/>
      <c r="E108" s="15"/>
      <c r="F108" s="15"/>
    </row>
    <row r="109" spans="1:6" x14ac:dyDescent="0.3">
      <c r="A109" s="16" t="s">
        <v>25</v>
      </c>
      <c r="B109" s="13">
        <v>176991</v>
      </c>
      <c r="C109" s="13">
        <v>2204</v>
      </c>
      <c r="D109" s="13">
        <v>386</v>
      </c>
      <c r="E109" s="13">
        <v>12607</v>
      </c>
      <c r="F109" s="13">
        <v>192188</v>
      </c>
    </row>
    <row r="110" spans="1:6" x14ac:dyDescent="0.3">
      <c r="A110" s="16" t="s">
        <v>26</v>
      </c>
      <c r="B110" s="13">
        <v>103425</v>
      </c>
      <c r="C110" s="13">
        <v>15920</v>
      </c>
      <c r="D110" s="13">
        <v>26497</v>
      </c>
      <c r="E110" s="13">
        <v>158118</v>
      </c>
      <c r="F110" s="13">
        <v>303960</v>
      </c>
    </row>
    <row r="111" spans="1:6" x14ac:dyDescent="0.3">
      <c r="A111" s="16" t="s">
        <v>27</v>
      </c>
      <c r="B111" s="13">
        <v>4641</v>
      </c>
      <c r="C111" s="13">
        <v>1969</v>
      </c>
      <c r="D111" s="13">
        <v>21108</v>
      </c>
      <c r="E111" s="13">
        <v>19416</v>
      </c>
      <c r="F111" s="13">
        <v>47134</v>
      </c>
    </row>
    <row r="112" spans="1:6" x14ac:dyDescent="0.3">
      <c r="A112" s="16" t="s">
        <v>28</v>
      </c>
      <c r="B112" s="13">
        <v>176844</v>
      </c>
      <c r="C112" s="13">
        <v>2204</v>
      </c>
      <c r="D112" s="13">
        <v>386</v>
      </c>
      <c r="E112" s="13">
        <v>12607</v>
      </c>
      <c r="F112" s="13">
        <v>192041</v>
      </c>
    </row>
    <row r="113" spans="1:6" x14ac:dyDescent="0.3">
      <c r="A113" s="16" t="s">
        <v>29</v>
      </c>
      <c r="B113" s="13">
        <v>284910</v>
      </c>
      <c r="C113" s="13">
        <v>20093</v>
      </c>
      <c r="D113" s="13">
        <v>47991</v>
      </c>
      <c r="E113" s="13">
        <v>190141</v>
      </c>
      <c r="F113" s="13">
        <v>543135</v>
      </c>
    </row>
    <row r="114" spans="1:6" x14ac:dyDescent="0.3">
      <c r="A114" s="12" t="s">
        <v>36</v>
      </c>
      <c r="B114" s="12"/>
      <c r="C114" s="12"/>
      <c r="D114" s="12"/>
      <c r="E114" s="12"/>
      <c r="F114" s="12"/>
    </row>
    <row r="115" spans="1:6" x14ac:dyDescent="0.3">
      <c r="A115" s="14" t="s">
        <v>13</v>
      </c>
      <c r="B115" s="13">
        <v>18</v>
      </c>
      <c r="C115" s="13" t="s">
        <v>14</v>
      </c>
      <c r="D115" s="13">
        <v>2</v>
      </c>
      <c r="E115" s="13" t="s">
        <v>14</v>
      </c>
      <c r="F115" s="13">
        <v>20</v>
      </c>
    </row>
    <row r="116" spans="1:6" x14ac:dyDescent="0.3">
      <c r="A116" s="14" t="s">
        <v>15</v>
      </c>
      <c r="B116" s="13">
        <v>2332</v>
      </c>
      <c r="C116" s="13">
        <v>211</v>
      </c>
      <c r="D116" s="13">
        <v>11</v>
      </c>
      <c r="E116" s="13">
        <v>40</v>
      </c>
      <c r="F116" s="13">
        <v>2594</v>
      </c>
    </row>
    <row r="117" spans="1:6" x14ac:dyDescent="0.3">
      <c r="A117" s="14" t="s">
        <v>16</v>
      </c>
      <c r="B117" s="13">
        <v>10163</v>
      </c>
      <c r="C117" s="13">
        <v>3252</v>
      </c>
      <c r="D117" s="13">
        <v>101</v>
      </c>
      <c r="E117" s="13">
        <v>2190</v>
      </c>
      <c r="F117" s="13">
        <v>15706</v>
      </c>
    </row>
    <row r="118" spans="1:6" x14ac:dyDescent="0.3">
      <c r="A118" s="14" t="s">
        <v>17</v>
      </c>
      <c r="B118" s="13">
        <v>11931</v>
      </c>
      <c r="C118" s="13">
        <v>8243</v>
      </c>
      <c r="D118" s="13">
        <v>732</v>
      </c>
      <c r="E118" s="13">
        <v>11139</v>
      </c>
      <c r="F118" s="13">
        <v>32045</v>
      </c>
    </row>
    <row r="119" spans="1:6" x14ac:dyDescent="0.3">
      <c r="A119" s="14" t="s">
        <v>18</v>
      </c>
      <c r="B119" s="13">
        <v>13753</v>
      </c>
      <c r="C119" s="13">
        <v>17252</v>
      </c>
      <c r="D119" s="13">
        <v>7935</v>
      </c>
      <c r="E119" s="13">
        <v>53149</v>
      </c>
      <c r="F119" s="13">
        <v>92089</v>
      </c>
    </row>
    <row r="120" spans="1:6" x14ac:dyDescent="0.3">
      <c r="A120" s="14" t="s">
        <v>19</v>
      </c>
      <c r="B120" s="13">
        <v>7020</v>
      </c>
      <c r="C120" s="13">
        <v>18503</v>
      </c>
      <c r="D120" s="13">
        <v>34832</v>
      </c>
      <c r="E120" s="13">
        <v>84436</v>
      </c>
      <c r="F120" s="13">
        <v>144791</v>
      </c>
    </row>
    <row r="121" spans="1:6" x14ac:dyDescent="0.3">
      <c r="A121" s="14" t="s">
        <v>20</v>
      </c>
      <c r="B121" s="13">
        <v>2342</v>
      </c>
      <c r="C121" s="13">
        <v>8729</v>
      </c>
      <c r="D121" s="13">
        <v>44973</v>
      </c>
      <c r="E121" s="13">
        <v>39229</v>
      </c>
      <c r="F121" s="13">
        <v>95273</v>
      </c>
    </row>
    <row r="122" spans="1:6" x14ac:dyDescent="0.3">
      <c r="A122" s="14" t="s">
        <v>21</v>
      </c>
      <c r="B122" s="13">
        <v>598</v>
      </c>
      <c r="C122" s="13">
        <v>1927</v>
      </c>
      <c r="D122" s="13">
        <v>35817</v>
      </c>
      <c r="E122" s="13">
        <v>8532</v>
      </c>
      <c r="F122" s="13">
        <v>46874</v>
      </c>
    </row>
    <row r="123" spans="1:6" x14ac:dyDescent="0.3">
      <c r="A123" s="14" t="s">
        <v>22</v>
      </c>
      <c r="B123" s="13">
        <v>370</v>
      </c>
      <c r="C123" s="13">
        <v>538</v>
      </c>
      <c r="D123" s="13">
        <v>27571</v>
      </c>
      <c r="E123" s="13">
        <v>2450</v>
      </c>
      <c r="F123" s="13">
        <v>30929</v>
      </c>
    </row>
    <row r="124" spans="1:6" x14ac:dyDescent="0.3">
      <c r="A124" s="14" t="s">
        <v>23</v>
      </c>
      <c r="B124" s="13">
        <v>134</v>
      </c>
      <c r="C124" s="13">
        <v>153</v>
      </c>
      <c r="D124" s="13">
        <v>10751</v>
      </c>
      <c r="E124" s="13">
        <v>542</v>
      </c>
      <c r="F124" s="13">
        <v>11580</v>
      </c>
    </row>
    <row r="125" spans="1:6" x14ac:dyDescent="0.3">
      <c r="A125" s="15" t="s">
        <v>10</v>
      </c>
      <c r="B125" s="13">
        <v>48661</v>
      </c>
      <c r="C125" s="13">
        <v>58808</v>
      </c>
      <c r="D125" s="13">
        <v>162725</v>
      </c>
      <c r="E125" s="13">
        <v>201707</v>
      </c>
      <c r="F125" s="13">
        <v>471901</v>
      </c>
    </row>
    <row r="126" spans="1:6" x14ac:dyDescent="0.3">
      <c r="A126" s="14" t="s">
        <v>24</v>
      </c>
      <c r="B126" s="15"/>
      <c r="C126" s="15"/>
      <c r="D126" s="15"/>
      <c r="E126" s="15"/>
      <c r="F126" s="15"/>
    </row>
    <row r="127" spans="1:6" x14ac:dyDescent="0.3">
      <c r="A127" s="16" t="s">
        <v>25</v>
      </c>
      <c r="B127" s="13">
        <v>24444</v>
      </c>
      <c r="C127" s="13">
        <v>11706</v>
      </c>
      <c r="D127" s="13">
        <v>846</v>
      </c>
      <c r="E127" s="13">
        <v>13369</v>
      </c>
      <c r="F127" s="13">
        <v>50365</v>
      </c>
    </row>
    <row r="128" spans="1:6" x14ac:dyDescent="0.3">
      <c r="A128" s="16" t="s">
        <v>26</v>
      </c>
      <c r="B128" s="13">
        <v>23115</v>
      </c>
      <c r="C128" s="13">
        <v>44484</v>
      </c>
      <c r="D128" s="13">
        <v>87740</v>
      </c>
      <c r="E128" s="13">
        <v>176814</v>
      </c>
      <c r="F128" s="13">
        <v>332153</v>
      </c>
    </row>
    <row r="129" spans="1:6" x14ac:dyDescent="0.3">
      <c r="A129" s="16" t="s">
        <v>27</v>
      </c>
      <c r="B129" s="13">
        <v>1102</v>
      </c>
      <c r="C129" s="13">
        <v>2618</v>
      </c>
      <c r="D129" s="13">
        <v>74139</v>
      </c>
      <c r="E129" s="13">
        <v>11524</v>
      </c>
      <c r="F129" s="13">
        <v>89383</v>
      </c>
    </row>
    <row r="130" spans="1:6" x14ac:dyDescent="0.3">
      <c r="A130" s="16" t="s">
        <v>28</v>
      </c>
      <c r="B130" s="13">
        <v>24426</v>
      </c>
      <c r="C130" s="13">
        <v>11706</v>
      </c>
      <c r="D130" s="13">
        <v>844</v>
      </c>
      <c r="E130" s="13">
        <v>13369</v>
      </c>
      <c r="F130" s="13">
        <v>50345</v>
      </c>
    </row>
    <row r="131" spans="1:6" x14ac:dyDescent="0.3">
      <c r="A131" s="16" t="s">
        <v>29</v>
      </c>
      <c r="B131" s="13">
        <v>48643</v>
      </c>
      <c r="C131" s="13">
        <v>58808</v>
      </c>
      <c r="D131" s="13">
        <v>162723</v>
      </c>
      <c r="E131" s="13">
        <v>201707</v>
      </c>
      <c r="F131" s="13">
        <v>471881</v>
      </c>
    </row>
    <row r="132" spans="1:6" x14ac:dyDescent="0.3">
      <c r="A132" s="11" t="s">
        <v>37</v>
      </c>
      <c r="B132" s="11"/>
      <c r="C132" s="11"/>
      <c r="D132" s="11"/>
      <c r="E132" s="11"/>
      <c r="F132" s="11"/>
    </row>
    <row r="133" spans="1:6" x14ac:dyDescent="0.3">
      <c r="A133" s="14" t="s">
        <v>13</v>
      </c>
      <c r="B133" s="13">
        <v>1651360</v>
      </c>
      <c r="C133" s="13" t="s">
        <v>14</v>
      </c>
      <c r="D133" s="13" t="s">
        <v>14</v>
      </c>
      <c r="E133" s="13" t="s">
        <v>14</v>
      </c>
      <c r="F133" s="13">
        <v>1651360</v>
      </c>
    </row>
    <row r="134" spans="1:6" x14ac:dyDescent="0.3">
      <c r="A134" s="14" t="s">
        <v>15</v>
      </c>
      <c r="B134" s="13">
        <v>547809</v>
      </c>
      <c r="C134" s="13" t="s">
        <v>14</v>
      </c>
      <c r="D134" s="13" t="s">
        <v>14</v>
      </c>
      <c r="E134" s="13" t="s">
        <v>14</v>
      </c>
      <c r="F134" s="13">
        <v>547809</v>
      </c>
    </row>
    <row r="135" spans="1:6" x14ac:dyDescent="0.3">
      <c r="A135" s="14" t="s">
        <v>16</v>
      </c>
      <c r="B135" s="13">
        <v>477354</v>
      </c>
      <c r="C135" s="13" t="s">
        <v>14</v>
      </c>
      <c r="D135" s="13" t="s">
        <v>14</v>
      </c>
      <c r="E135" s="13" t="s">
        <v>14</v>
      </c>
      <c r="F135" s="13">
        <v>477354</v>
      </c>
    </row>
    <row r="136" spans="1:6" x14ac:dyDescent="0.3">
      <c r="A136" s="14" t="s">
        <v>17</v>
      </c>
      <c r="B136" s="13">
        <v>226498</v>
      </c>
      <c r="C136" s="13" t="s">
        <v>14</v>
      </c>
      <c r="D136" s="13" t="s">
        <v>14</v>
      </c>
      <c r="E136" s="13" t="s">
        <v>14</v>
      </c>
      <c r="F136" s="13">
        <v>226498</v>
      </c>
    </row>
    <row r="137" spans="1:6" x14ac:dyDescent="0.3">
      <c r="A137" s="14" t="s">
        <v>18</v>
      </c>
      <c r="B137" s="13">
        <v>115533</v>
      </c>
      <c r="C137" s="13" t="s">
        <v>14</v>
      </c>
      <c r="D137" s="13" t="s">
        <v>14</v>
      </c>
      <c r="E137" s="13" t="s">
        <v>14</v>
      </c>
      <c r="F137" s="13">
        <v>115533</v>
      </c>
    </row>
    <row r="138" spans="1:6" x14ac:dyDescent="0.3">
      <c r="A138" s="14" t="s">
        <v>19</v>
      </c>
      <c r="B138" s="13">
        <v>53317</v>
      </c>
      <c r="C138" s="13" t="s">
        <v>14</v>
      </c>
      <c r="D138" s="13" t="s">
        <v>14</v>
      </c>
      <c r="E138" s="13" t="s">
        <v>14</v>
      </c>
      <c r="F138" s="13">
        <v>53317</v>
      </c>
    </row>
    <row r="139" spans="1:6" x14ac:dyDescent="0.3">
      <c r="A139" s="14" t="s">
        <v>20</v>
      </c>
      <c r="B139" s="13">
        <v>15341</v>
      </c>
      <c r="C139" s="13" t="s">
        <v>14</v>
      </c>
      <c r="D139" s="13" t="s">
        <v>14</v>
      </c>
      <c r="E139" s="13" t="s">
        <v>14</v>
      </c>
      <c r="F139" s="13">
        <v>15341</v>
      </c>
    </row>
    <row r="140" spans="1:6" x14ac:dyDescent="0.3">
      <c r="A140" s="14" t="s">
        <v>38</v>
      </c>
      <c r="B140" s="13">
        <v>7205</v>
      </c>
      <c r="C140" s="13" t="s">
        <v>14</v>
      </c>
      <c r="D140" s="13" t="s">
        <v>14</v>
      </c>
      <c r="E140" s="13" t="s">
        <v>14</v>
      </c>
      <c r="F140" s="13">
        <v>7205</v>
      </c>
    </row>
    <row r="141" spans="1:6" x14ac:dyDescent="0.3">
      <c r="A141" s="15" t="s">
        <v>10</v>
      </c>
      <c r="B141" s="13">
        <v>3094417</v>
      </c>
      <c r="C141" s="13" t="s">
        <v>14</v>
      </c>
      <c r="D141" s="13" t="s">
        <v>14</v>
      </c>
      <c r="E141" s="13" t="s">
        <v>14</v>
      </c>
      <c r="F141" s="13">
        <v>3094417</v>
      </c>
    </row>
    <row r="142" spans="1:6" x14ac:dyDescent="0.3">
      <c r="A142" s="14" t="s">
        <v>24</v>
      </c>
      <c r="B142" s="15"/>
      <c r="C142" s="15"/>
      <c r="D142" s="15"/>
      <c r="E142" s="15"/>
      <c r="F142" s="15"/>
    </row>
    <row r="143" spans="1:6" x14ac:dyDescent="0.3">
      <c r="A143" s="16" t="s">
        <v>25</v>
      </c>
      <c r="B143" s="13">
        <v>2903021</v>
      </c>
      <c r="C143" s="13" t="s">
        <v>14</v>
      </c>
      <c r="D143" s="13" t="s">
        <v>14</v>
      </c>
      <c r="E143" s="13" t="s">
        <v>14</v>
      </c>
      <c r="F143" s="13">
        <v>2903021</v>
      </c>
    </row>
    <row r="144" spans="1:6" x14ac:dyDescent="0.3">
      <c r="A144" s="16" t="s">
        <v>26</v>
      </c>
      <c r="B144" s="13">
        <v>184191</v>
      </c>
      <c r="C144" s="13" t="s">
        <v>14</v>
      </c>
      <c r="D144" s="13" t="s">
        <v>14</v>
      </c>
      <c r="E144" s="13" t="s">
        <v>14</v>
      </c>
      <c r="F144" s="13">
        <v>184191</v>
      </c>
    </row>
    <row r="145" spans="1:6" x14ac:dyDescent="0.3">
      <c r="A145" s="16" t="s">
        <v>27</v>
      </c>
      <c r="B145" s="13">
        <v>7205</v>
      </c>
      <c r="C145" s="13" t="s">
        <v>14</v>
      </c>
      <c r="D145" s="13" t="s">
        <v>14</v>
      </c>
      <c r="E145" s="13" t="s">
        <v>14</v>
      </c>
      <c r="F145" s="13">
        <v>7205</v>
      </c>
    </row>
    <row r="146" spans="1:6" x14ac:dyDescent="0.3">
      <c r="A146" s="16" t="s">
        <v>28</v>
      </c>
      <c r="B146" s="13">
        <v>1251661</v>
      </c>
      <c r="C146" s="13" t="s">
        <v>14</v>
      </c>
      <c r="D146" s="13" t="s">
        <v>14</v>
      </c>
      <c r="E146" s="13" t="s">
        <v>14</v>
      </c>
      <c r="F146" s="13">
        <v>1251661</v>
      </c>
    </row>
    <row r="147" spans="1:6" x14ac:dyDescent="0.3">
      <c r="A147" s="16" t="s">
        <v>29</v>
      </c>
      <c r="B147" s="13">
        <v>1443057</v>
      </c>
      <c r="C147" s="13" t="s">
        <v>14</v>
      </c>
      <c r="D147" s="13" t="s">
        <v>14</v>
      </c>
      <c r="E147" s="13" t="s">
        <v>14</v>
      </c>
      <c r="F147" s="13">
        <v>1443057</v>
      </c>
    </row>
    <row r="148" spans="1:6" x14ac:dyDescent="0.3">
      <c r="A148" s="12" t="s">
        <v>39</v>
      </c>
      <c r="B148" s="12"/>
      <c r="C148" s="12"/>
      <c r="D148" s="12"/>
      <c r="E148" s="12"/>
      <c r="F148" s="12"/>
    </row>
    <row r="149" spans="1:6" x14ac:dyDescent="0.3">
      <c r="A149" s="14" t="s">
        <v>13</v>
      </c>
      <c r="B149" s="13">
        <v>1417</v>
      </c>
      <c r="C149" s="13" t="s">
        <v>14</v>
      </c>
      <c r="D149" s="13">
        <v>5</v>
      </c>
      <c r="E149" s="13" t="s">
        <v>14</v>
      </c>
      <c r="F149" s="13">
        <v>1422</v>
      </c>
    </row>
    <row r="150" spans="1:6" x14ac:dyDescent="0.3">
      <c r="A150" s="14" t="s">
        <v>15</v>
      </c>
      <c r="B150" s="13">
        <v>8571</v>
      </c>
      <c r="C150" s="13">
        <v>28</v>
      </c>
      <c r="D150" s="13">
        <v>13</v>
      </c>
      <c r="E150" s="13">
        <v>7</v>
      </c>
      <c r="F150" s="13">
        <v>8619</v>
      </c>
    </row>
    <row r="151" spans="1:6" x14ac:dyDescent="0.3">
      <c r="A151" s="14" t="s">
        <v>16</v>
      </c>
      <c r="B151" s="13">
        <v>45108</v>
      </c>
      <c r="C151" s="13">
        <v>899</v>
      </c>
      <c r="D151" s="13">
        <v>26</v>
      </c>
      <c r="E151" s="13">
        <v>498</v>
      </c>
      <c r="F151" s="13">
        <v>46531</v>
      </c>
    </row>
    <row r="152" spans="1:6" x14ac:dyDescent="0.3">
      <c r="A152" s="14" t="s">
        <v>17</v>
      </c>
      <c r="B152" s="13">
        <v>47517</v>
      </c>
      <c r="C152" s="13">
        <v>3149</v>
      </c>
      <c r="D152" s="13">
        <v>90</v>
      </c>
      <c r="E152" s="13">
        <v>3675</v>
      </c>
      <c r="F152" s="13">
        <v>54431</v>
      </c>
    </row>
    <row r="153" spans="1:6" x14ac:dyDescent="0.3">
      <c r="A153" s="14" t="s">
        <v>18</v>
      </c>
      <c r="B153" s="13">
        <v>46369</v>
      </c>
      <c r="C153" s="13">
        <v>6840</v>
      </c>
      <c r="D153" s="13">
        <v>633</v>
      </c>
      <c r="E153" s="13">
        <v>19000</v>
      </c>
      <c r="F153" s="13">
        <v>72842</v>
      </c>
    </row>
    <row r="154" spans="1:6" x14ac:dyDescent="0.3">
      <c r="A154" s="14" t="s">
        <v>19</v>
      </c>
      <c r="B154" s="13">
        <v>36802</v>
      </c>
      <c r="C154" s="13">
        <v>11031</v>
      </c>
      <c r="D154" s="13">
        <v>7686</v>
      </c>
      <c r="E154" s="13">
        <v>49539</v>
      </c>
      <c r="F154" s="13">
        <v>105058</v>
      </c>
    </row>
    <row r="155" spans="1:6" x14ac:dyDescent="0.3">
      <c r="A155" s="14" t="s">
        <v>20</v>
      </c>
      <c r="B155" s="13">
        <v>28924</v>
      </c>
      <c r="C155" s="13">
        <v>13812</v>
      </c>
      <c r="D155" s="13">
        <v>45748</v>
      </c>
      <c r="E155" s="13">
        <v>65656</v>
      </c>
      <c r="F155" s="13">
        <v>154140</v>
      </c>
    </row>
    <row r="156" spans="1:6" x14ac:dyDescent="0.3">
      <c r="A156" s="14" t="s">
        <v>21</v>
      </c>
      <c r="B156" s="13">
        <v>21647</v>
      </c>
      <c r="C156" s="13">
        <v>9252</v>
      </c>
      <c r="D156" s="13">
        <v>135971</v>
      </c>
      <c r="E156" s="13">
        <v>47134</v>
      </c>
      <c r="F156" s="13">
        <v>214004</v>
      </c>
    </row>
    <row r="157" spans="1:6" x14ac:dyDescent="0.3">
      <c r="A157" s="14" t="s">
        <v>22</v>
      </c>
      <c r="B157" s="13">
        <v>17003</v>
      </c>
      <c r="C157" s="13">
        <v>4956</v>
      </c>
      <c r="D157" s="13">
        <v>206240</v>
      </c>
      <c r="E157" s="13">
        <v>25972</v>
      </c>
      <c r="F157" s="13">
        <v>254171</v>
      </c>
    </row>
    <row r="158" spans="1:6" x14ac:dyDescent="0.3">
      <c r="A158" s="14" t="s">
        <v>23</v>
      </c>
      <c r="B158" s="13">
        <v>6328</v>
      </c>
      <c r="C158" s="13">
        <v>1090</v>
      </c>
      <c r="D158" s="13">
        <v>90002</v>
      </c>
      <c r="E158" s="13">
        <v>5251</v>
      </c>
      <c r="F158" s="13">
        <v>102671</v>
      </c>
    </row>
    <row r="159" spans="1:6" x14ac:dyDescent="0.3">
      <c r="A159" s="15" t="s">
        <v>10</v>
      </c>
      <c r="B159" s="13">
        <v>259686</v>
      </c>
      <c r="C159" s="13">
        <v>51057</v>
      </c>
      <c r="D159" s="13">
        <v>486414</v>
      </c>
      <c r="E159" s="13">
        <v>216732</v>
      </c>
      <c r="F159" s="13">
        <v>1013889</v>
      </c>
    </row>
    <row r="160" spans="1:6" x14ac:dyDescent="0.3">
      <c r="A160" s="14" t="s">
        <v>24</v>
      </c>
      <c r="B160" s="15"/>
      <c r="C160" s="15"/>
      <c r="D160" s="15"/>
      <c r="E160" s="15"/>
      <c r="F160" s="15"/>
    </row>
    <row r="161" spans="1:6" x14ac:dyDescent="0.3">
      <c r="A161" s="16" t="s">
        <v>25</v>
      </c>
      <c r="B161" s="13">
        <v>102613</v>
      </c>
      <c r="C161" s="13">
        <v>4076</v>
      </c>
      <c r="D161" s="13">
        <v>134</v>
      </c>
      <c r="E161" s="13">
        <v>4180</v>
      </c>
      <c r="F161" s="13">
        <v>111003</v>
      </c>
    </row>
    <row r="162" spans="1:6" x14ac:dyDescent="0.3">
      <c r="A162" s="16" t="s">
        <v>26</v>
      </c>
      <c r="B162" s="13">
        <v>112095</v>
      </c>
      <c r="C162" s="13">
        <v>31683</v>
      </c>
      <c r="D162" s="13">
        <v>54067</v>
      </c>
      <c r="E162" s="13">
        <v>134195</v>
      </c>
      <c r="F162" s="13">
        <v>332040</v>
      </c>
    </row>
    <row r="163" spans="1:6" x14ac:dyDescent="0.3">
      <c r="A163" s="16" t="s">
        <v>27</v>
      </c>
      <c r="B163" s="13">
        <v>44978</v>
      </c>
      <c r="C163" s="13">
        <v>15298</v>
      </c>
      <c r="D163" s="13">
        <v>432213</v>
      </c>
      <c r="E163" s="13">
        <v>78357</v>
      </c>
      <c r="F163" s="13">
        <v>570846</v>
      </c>
    </row>
    <row r="164" spans="1:6" x14ac:dyDescent="0.3">
      <c r="A164" s="16" t="s">
        <v>28</v>
      </c>
      <c r="B164" s="13">
        <v>101196</v>
      </c>
      <c r="C164" s="13">
        <v>4076</v>
      </c>
      <c r="D164" s="13">
        <v>129</v>
      </c>
      <c r="E164" s="13">
        <v>4180</v>
      </c>
      <c r="F164" s="13">
        <v>109581</v>
      </c>
    </row>
    <row r="165" spans="1:6" x14ac:dyDescent="0.3">
      <c r="A165" s="16" t="s">
        <v>29</v>
      </c>
      <c r="B165" s="13">
        <v>258269</v>
      </c>
      <c r="C165" s="13">
        <v>51057</v>
      </c>
      <c r="D165" s="13">
        <v>486409</v>
      </c>
      <c r="E165" s="13">
        <v>216732</v>
      </c>
      <c r="F165" s="13">
        <v>1012467</v>
      </c>
    </row>
    <row r="166" spans="1:6" x14ac:dyDescent="0.3">
      <c r="A166" s="12" t="s">
        <v>40</v>
      </c>
      <c r="B166" s="12"/>
      <c r="C166" s="12"/>
      <c r="D166" s="12"/>
      <c r="E166" s="12"/>
      <c r="F166" s="12"/>
    </row>
    <row r="167" spans="1:6" x14ac:dyDescent="0.3">
      <c r="A167" s="14" t="s">
        <v>13</v>
      </c>
      <c r="B167" s="13">
        <v>723</v>
      </c>
      <c r="C167" s="13" t="s">
        <v>14</v>
      </c>
      <c r="D167" s="13" t="s">
        <v>14</v>
      </c>
      <c r="E167" s="13" t="s">
        <v>14</v>
      </c>
      <c r="F167" s="13">
        <v>723</v>
      </c>
    </row>
    <row r="168" spans="1:6" x14ac:dyDescent="0.3">
      <c r="A168" s="14" t="s">
        <v>15</v>
      </c>
      <c r="B168" s="13">
        <v>3734</v>
      </c>
      <c r="C168" s="13">
        <v>11</v>
      </c>
      <c r="D168" s="13">
        <v>1</v>
      </c>
      <c r="E168" s="13">
        <v>3</v>
      </c>
      <c r="F168" s="13">
        <v>3749</v>
      </c>
    </row>
    <row r="169" spans="1:6" x14ac:dyDescent="0.3">
      <c r="A169" s="14" t="s">
        <v>16</v>
      </c>
      <c r="B169" s="13">
        <v>22206</v>
      </c>
      <c r="C169" s="13">
        <v>332</v>
      </c>
      <c r="D169" s="13">
        <v>3</v>
      </c>
      <c r="E169" s="13">
        <v>161</v>
      </c>
      <c r="F169" s="13">
        <v>22702</v>
      </c>
    </row>
    <row r="170" spans="1:6" x14ac:dyDescent="0.3">
      <c r="A170" s="14" t="s">
        <v>17</v>
      </c>
      <c r="B170" s="13">
        <v>26377</v>
      </c>
      <c r="C170" s="13">
        <v>1749</v>
      </c>
      <c r="D170" s="13">
        <v>14</v>
      </c>
      <c r="E170" s="13">
        <v>1952</v>
      </c>
      <c r="F170" s="13">
        <v>30092</v>
      </c>
    </row>
    <row r="171" spans="1:6" x14ac:dyDescent="0.3">
      <c r="A171" s="14" t="s">
        <v>18</v>
      </c>
      <c r="B171" s="13">
        <v>29539</v>
      </c>
      <c r="C171" s="13">
        <v>4957</v>
      </c>
      <c r="D171" s="13">
        <v>174</v>
      </c>
      <c r="E171" s="13">
        <v>13648</v>
      </c>
      <c r="F171" s="13">
        <v>48318</v>
      </c>
    </row>
    <row r="172" spans="1:6" x14ac:dyDescent="0.3">
      <c r="A172" s="14" t="s">
        <v>19</v>
      </c>
      <c r="B172" s="13">
        <v>25078</v>
      </c>
      <c r="C172" s="13">
        <v>7262</v>
      </c>
      <c r="D172" s="13">
        <v>1672</v>
      </c>
      <c r="E172" s="13">
        <v>31513</v>
      </c>
      <c r="F172" s="13">
        <v>65525</v>
      </c>
    </row>
    <row r="173" spans="1:6" x14ac:dyDescent="0.3">
      <c r="A173" s="14" t="s">
        <v>20</v>
      </c>
      <c r="B173" s="13">
        <v>16456</v>
      </c>
      <c r="C173" s="13">
        <v>7843</v>
      </c>
      <c r="D173" s="13">
        <v>6585</v>
      </c>
      <c r="E173" s="13">
        <v>31439</v>
      </c>
      <c r="F173" s="13">
        <v>62323</v>
      </c>
    </row>
    <row r="174" spans="1:6" x14ac:dyDescent="0.3">
      <c r="A174" s="14" t="s">
        <v>21</v>
      </c>
      <c r="B174" s="13">
        <v>10407</v>
      </c>
      <c r="C174" s="13">
        <v>4943</v>
      </c>
      <c r="D174" s="13">
        <v>17517</v>
      </c>
      <c r="E174" s="13">
        <v>16567</v>
      </c>
      <c r="F174" s="13">
        <v>49434</v>
      </c>
    </row>
    <row r="175" spans="1:6" x14ac:dyDescent="0.3">
      <c r="A175" s="14" t="s">
        <v>22</v>
      </c>
      <c r="B175" s="13">
        <v>5272</v>
      </c>
      <c r="C175" s="13">
        <v>2554</v>
      </c>
      <c r="D175" s="13">
        <v>30703</v>
      </c>
      <c r="E175" s="13">
        <v>6854</v>
      </c>
      <c r="F175" s="13">
        <v>45383</v>
      </c>
    </row>
    <row r="176" spans="1:6" x14ac:dyDescent="0.3">
      <c r="A176" s="14" t="s">
        <v>23</v>
      </c>
      <c r="B176" s="13">
        <v>1281</v>
      </c>
      <c r="C176" s="13">
        <v>530</v>
      </c>
      <c r="D176" s="13">
        <v>16664</v>
      </c>
      <c r="E176" s="13">
        <v>1176</v>
      </c>
      <c r="F176" s="13">
        <v>19651</v>
      </c>
    </row>
    <row r="177" spans="1:6" x14ac:dyDescent="0.3">
      <c r="A177" s="15" t="s">
        <v>10</v>
      </c>
      <c r="B177" s="13">
        <v>141073</v>
      </c>
      <c r="C177" s="13">
        <v>30181</v>
      </c>
      <c r="D177" s="13">
        <v>73333</v>
      </c>
      <c r="E177" s="13">
        <v>103313</v>
      </c>
      <c r="F177" s="13">
        <v>347900</v>
      </c>
    </row>
    <row r="178" spans="1:6" x14ac:dyDescent="0.3">
      <c r="A178" s="14" t="s">
        <v>24</v>
      </c>
      <c r="B178" s="15"/>
      <c r="C178" s="15"/>
      <c r="D178" s="15"/>
      <c r="E178" s="15"/>
      <c r="F178" s="15"/>
    </row>
    <row r="179" spans="1:6" x14ac:dyDescent="0.3">
      <c r="A179" s="16" t="s">
        <v>25</v>
      </c>
      <c r="B179" s="13">
        <v>53040</v>
      </c>
      <c r="C179" s="13">
        <v>2092</v>
      </c>
      <c r="D179" s="13">
        <v>18</v>
      </c>
      <c r="E179" s="13">
        <v>2116</v>
      </c>
      <c r="F179" s="13">
        <v>57266</v>
      </c>
    </row>
    <row r="180" spans="1:6" x14ac:dyDescent="0.3">
      <c r="A180" s="16" t="s">
        <v>26</v>
      </c>
      <c r="B180" s="13">
        <v>71073</v>
      </c>
      <c r="C180" s="13">
        <v>20062</v>
      </c>
      <c r="D180" s="13">
        <v>8431</v>
      </c>
      <c r="E180" s="13">
        <v>76600</v>
      </c>
      <c r="F180" s="13">
        <v>176166</v>
      </c>
    </row>
    <row r="181" spans="1:6" x14ac:dyDescent="0.3">
      <c r="A181" s="16" t="s">
        <v>27</v>
      </c>
      <c r="B181" s="13">
        <v>16960</v>
      </c>
      <c r="C181" s="13">
        <v>8027</v>
      </c>
      <c r="D181" s="13">
        <v>64884</v>
      </c>
      <c r="E181" s="13">
        <v>24597</v>
      </c>
      <c r="F181" s="13">
        <v>114468</v>
      </c>
    </row>
    <row r="182" spans="1:6" x14ac:dyDescent="0.3">
      <c r="A182" s="16" t="s">
        <v>28</v>
      </c>
      <c r="B182" s="13">
        <v>52317</v>
      </c>
      <c r="C182" s="13">
        <v>2092</v>
      </c>
      <c r="D182" s="13">
        <v>18</v>
      </c>
      <c r="E182" s="13">
        <v>2116</v>
      </c>
      <c r="F182" s="13">
        <v>56543</v>
      </c>
    </row>
    <row r="183" spans="1:6" x14ac:dyDescent="0.3">
      <c r="A183" s="16" t="s">
        <v>29</v>
      </c>
      <c r="B183" s="13">
        <v>140350</v>
      </c>
      <c r="C183" s="13">
        <v>30181</v>
      </c>
      <c r="D183" s="13">
        <v>73333</v>
      </c>
      <c r="E183" s="13">
        <v>103313</v>
      </c>
      <c r="F183" s="13">
        <v>347177</v>
      </c>
    </row>
    <row r="184" spans="1:6" x14ac:dyDescent="0.3">
      <c r="A184" s="12" t="s">
        <v>41</v>
      </c>
      <c r="B184" s="12"/>
      <c r="C184" s="12"/>
      <c r="D184" s="12"/>
      <c r="E184" s="12"/>
      <c r="F184" s="12"/>
    </row>
    <row r="185" spans="1:6" x14ac:dyDescent="0.3">
      <c r="A185" s="14" t="s">
        <v>13</v>
      </c>
      <c r="B185" s="13">
        <v>694</v>
      </c>
      <c r="C185" s="13" t="s">
        <v>14</v>
      </c>
      <c r="D185" s="13">
        <v>5</v>
      </c>
      <c r="E185" s="13" t="s">
        <v>14</v>
      </c>
      <c r="F185" s="13">
        <v>699</v>
      </c>
    </row>
    <row r="186" spans="1:6" x14ac:dyDescent="0.3">
      <c r="A186" s="14" t="s">
        <v>15</v>
      </c>
      <c r="B186" s="13">
        <v>4837</v>
      </c>
      <c r="C186" s="13">
        <v>17</v>
      </c>
      <c r="D186" s="13">
        <v>12</v>
      </c>
      <c r="E186" s="13">
        <v>4</v>
      </c>
      <c r="F186" s="13">
        <v>4870</v>
      </c>
    </row>
    <row r="187" spans="1:6" x14ac:dyDescent="0.3">
      <c r="A187" s="14" t="s">
        <v>16</v>
      </c>
      <c r="B187" s="13">
        <v>22902</v>
      </c>
      <c r="C187" s="13">
        <v>567</v>
      </c>
      <c r="D187" s="13">
        <v>23</v>
      </c>
      <c r="E187" s="13">
        <v>337</v>
      </c>
      <c r="F187" s="13">
        <v>23829</v>
      </c>
    </row>
    <row r="188" spans="1:6" x14ac:dyDescent="0.3">
      <c r="A188" s="14" t="s">
        <v>17</v>
      </c>
      <c r="B188" s="13">
        <v>21140</v>
      </c>
      <c r="C188" s="13">
        <v>1400</v>
      </c>
      <c r="D188" s="13">
        <v>76</v>
      </c>
      <c r="E188" s="13">
        <v>1723</v>
      </c>
      <c r="F188" s="13">
        <v>24339</v>
      </c>
    </row>
    <row r="189" spans="1:6" x14ac:dyDescent="0.3">
      <c r="A189" s="14" t="s">
        <v>18</v>
      </c>
      <c r="B189" s="13">
        <v>16830</v>
      </c>
      <c r="C189" s="13">
        <v>1883</v>
      </c>
      <c r="D189" s="13">
        <v>459</v>
      </c>
      <c r="E189" s="13">
        <v>5352</v>
      </c>
      <c r="F189" s="13">
        <v>24524</v>
      </c>
    </row>
    <row r="190" spans="1:6" x14ac:dyDescent="0.3">
      <c r="A190" s="14" t="s">
        <v>19</v>
      </c>
      <c r="B190" s="13">
        <v>11724</v>
      </c>
      <c r="C190" s="13">
        <v>3769</v>
      </c>
      <c r="D190" s="13">
        <v>6014</v>
      </c>
      <c r="E190" s="13">
        <v>18026</v>
      </c>
      <c r="F190" s="13">
        <v>39533</v>
      </c>
    </row>
    <row r="191" spans="1:6" x14ac:dyDescent="0.3">
      <c r="A191" s="14" t="s">
        <v>20</v>
      </c>
      <c r="B191" s="13">
        <v>12468</v>
      </c>
      <c r="C191" s="13">
        <v>5969</v>
      </c>
      <c r="D191" s="13">
        <v>39163</v>
      </c>
      <c r="E191" s="13">
        <v>34217</v>
      </c>
      <c r="F191" s="13">
        <v>91817</v>
      </c>
    </row>
    <row r="192" spans="1:6" x14ac:dyDescent="0.3">
      <c r="A192" s="14" t="s">
        <v>21</v>
      </c>
      <c r="B192" s="13">
        <v>11240</v>
      </c>
      <c r="C192" s="13">
        <v>4309</v>
      </c>
      <c r="D192" s="13">
        <v>118454</v>
      </c>
      <c r="E192" s="13">
        <v>30567</v>
      </c>
      <c r="F192" s="13">
        <v>164570</v>
      </c>
    </row>
    <row r="193" spans="1:6" x14ac:dyDescent="0.3">
      <c r="A193" s="14" t="s">
        <v>22</v>
      </c>
      <c r="B193" s="13">
        <v>11731</v>
      </c>
      <c r="C193" s="13">
        <v>2402</v>
      </c>
      <c r="D193" s="13">
        <v>175537</v>
      </c>
      <c r="E193" s="13">
        <v>19118</v>
      </c>
      <c r="F193" s="13">
        <v>208788</v>
      </c>
    </row>
    <row r="194" spans="1:6" x14ac:dyDescent="0.3">
      <c r="A194" s="14" t="s">
        <v>23</v>
      </c>
      <c r="B194" s="13">
        <v>5047</v>
      </c>
      <c r="C194" s="13">
        <v>560</v>
      </c>
      <c r="D194" s="13">
        <v>73338</v>
      </c>
      <c r="E194" s="13">
        <v>4075</v>
      </c>
      <c r="F194" s="13">
        <v>83020</v>
      </c>
    </row>
    <row r="195" spans="1:6" x14ac:dyDescent="0.3">
      <c r="A195" s="15" t="s">
        <v>10</v>
      </c>
      <c r="B195" s="13">
        <v>118613</v>
      </c>
      <c r="C195" s="13">
        <v>20876</v>
      </c>
      <c r="D195" s="13">
        <v>413081</v>
      </c>
      <c r="E195" s="13">
        <v>113419</v>
      </c>
      <c r="F195" s="13">
        <v>665989</v>
      </c>
    </row>
    <row r="196" spans="1:6" x14ac:dyDescent="0.3">
      <c r="A196" s="14" t="s">
        <v>24</v>
      </c>
      <c r="B196" s="15"/>
      <c r="C196" s="15"/>
      <c r="D196" s="15"/>
      <c r="E196" s="15"/>
      <c r="F196" s="15"/>
    </row>
    <row r="197" spans="1:6" x14ac:dyDescent="0.3">
      <c r="A197" s="16" t="s">
        <v>25</v>
      </c>
      <c r="B197" s="13">
        <v>49573</v>
      </c>
      <c r="C197" s="13">
        <v>1984</v>
      </c>
      <c r="D197" s="13">
        <v>116</v>
      </c>
      <c r="E197" s="13">
        <v>2064</v>
      </c>
      <c r="F197" s="13">
        <v>53737</v>
      </c>
    </row>
    <row r="198" spans="1:6" x14ac:dyDescent="0.3">
      <c r="A198" s="16" t="s">
        <v>26</v>
      </c>
      <c r="B198" s="13">
        <v>41022</v>
      </c>
      <c r="C198" s="13">
        <v>11621</v>
      </c>
      <c r="D198" s="13">
        <v>45636</v>
      </c>
      <c r="E198" s="13">
        <v>57595</v>
      </c>
      <c r="F198" s="13">
        <v>155874</v>
      </c>
    </row>
    <row r="199" spans="1:6" x14ac:dyDescent="0.3">
      <c r="A199" s="16" t="s">
        <v>27</v>
      </c>
      <c r="B199" s="13">
        <v>28018</v>
      </c>
      <c r="C199" s="13">
        <v>7271</v>
      </c>
      <c r="D199" s="13">
        <v>367329</v>
      </c>
      <c r="E199" s="13">
        <v>53760</v>
      </c>
      <c r="F199" s="13">
        <v>456378</v>
      </c>
    </row>
    <row r="200" spans="1:6" x14ac:dyDescent="0.3">
      <c r="A200" s="16" t="s">
        <v>28</v>
      </c>
      <c r="B200" s="13">
        <v>48879</v>
      </c>
      <c r="C200" s="13">
        <v>1984</v>
      </c>
      <c r="D200" s="13">
        <v>111</v>
      </c>
      <c r="E200" s="13">
        <v>2064</v>
      </c>
      <c r="F200" s="13">
        <v>53038</v>
      </c>
    </row>
    <row r="201" spans="1:6" x14ac:dyDescent="0.3">
      <c r="A201" s="16" t="s">
        <v>29</v>
      </c>
      <c r="B201" s="13">
        <v>117919</v>
      </c>
      <c r="C201" s="13">
        <v>20876</v>
      </c>
      <c r="D201" s="13">
        <v>413076</v>
      </c>
      <c r="E201" s="13">
        <v>113419</v>
      </c>
      <c r="F201" s="13">
        <v>665290</v>
      </c>
    </row>
    <row r="202" spans="1:6" x14ac:dyDescent="0.3">
      <c r="A202" s="12">
        <v>2011</v>
      </c>
      <c r="B202" s="12"/>
      <c r="C202" s="12"/>
      <c r="D202" s="12"/>
      <c r="E202" s="12"/>
      <c r="F202" s="12"/>
    </row>
    <row r="203" spans="1:6" x14ac:dyDescent="0.3">
      <c r="A203" s="12" t="s">
        <v>12</v>
      </c>
      <c r="B203" s="12"/>
      <c r="C203" s="12"/>
      <c r="D203" s="12"/>
      <c r="E203" s="12"/>
      <c r="F203" s="12"/>
    </row>
    <row r="204" spans="1:6" x14ac:dyDescent="0.3">
      <c r="A204" s="14" t="s">
        <v>13</v>
      </c>
      <c r="B204" s="13">
        <v>1447659</v>
      </c>
      <c r="C204" s="13" t="s">
        <v>14</v>
      </c>
      <c r="D204" s="13" t="s">
        <v>14</v>
      </c>
      <c r="E204" s="13" t="s">
        <v>14</v>
      </c>
      <c r="F204" s="13">
        <v>1447659</v>
      </c>
    </row>
    <row r="205" spans="1:6" x14ac:dyDescent="0.3">
      <c r="A205" s="14" t="s">
        <v>15</v>
      </c>
      <c r="B205" s="13">
        <v>591292</v>
      </c>
      <c r="C205" s="13">
        <v>2031</v>
      </c>
      <c r="D205" s="13">
        <v>38</v>
      </c>
      <c r="E205" s="13">
        <v>173</v>
      </c>
      <c r="F205" s="13">
        <v>593534</v>
      </c>
    </row>
    <row r="206" spans="1:6" x14ac:dyDescent="0.3">
      <c r="A206" s="14" t="s">
        <v>16</v>
      </c>
      <c r="B206" s="13">
        <v>594503</v>
      </c>
      <c r="C206" s="13">
        <v>21886</v>
      </c>
      <c r="D206" s="13">
        <v>115</v>
      </c>
      <c r="E206" s="13">
        <v>1731</v>
      </c>
      <c r="F206" s="13">
        <v>618235</v>
      </c>
    </row>
    <row r="207" spans="1:6" x14ac:dyDescent="0.3">
      <c r="A207" s="14" t="s">
        <v>17</v>
      </c>
      <c r="B207" s="13">
        <v>478307</v>
      </c>
      <c r="C207" s="13">
        <v>120935</v>
      </c>
      <c r="D207" s="13">
        <v>464</v>
      </c>
      <c r="E207" s="13">
        <v>11595</v>
      </c>
      <c r="F207" s="13">
        <v>611301</v>
      </c>
    </row>
    <row r="208" spans="1:6" x14ac:dyDescent="0.3">
      <c r="A208" s="14" t="s">
        <v>18</v>
      </c>
      <c r="B208" s="13">
        <v>661050</v>
      </c>
      <c r="C208" s="13">
        <v>760588</v>
      </c>
      <c r="D208" s="13">
        <v>6405</v>
      </c>
      <c r="E208" s="13">
        <v>152870</v>
      </c>
      <c r="F208" s="13">
        <v>1580913</v>
      </c>
    </row>
    <row r="209" spans="1:6" x14ac:dyDescent="0.3">
      <c r="A209" s="14" t="s">
        <v>19</v>
      </c>
      <c r="B209" s="13">
        <v>230003</v>
      </c>
      <c r="C209" s="13">
        <v>791137</v>
      </c>
      <c r="D209" s="13">
        <v>30170</v>
      </c>
      <c r="E209" s="13">
        <v>264883</v>
      </c>
      <c r="F209" s="13">
        <v>1316193</v>
      </c>
    </row>
    <row r="210" spans="1:6" x14ac:dyDescent="0.3">
      <c r="A210" s="14" t="s">
        <v>20</v>
      </c>
      <c r="B210" s="13">
        <v>121771</v>
      </c>
      <c r="C210" s="13">
        <v>904219</v>
      </c>
      <c r="D210" s="13">
        <v>121144</v>
      </c>
      <c r="E210" s="13">
        <v>291548</v>
      </c>
      <c r="F210" s="13">
        <v>1438682</v>
      </c>
    </row>
    <row r="211" spans="1:6" x14ac:dyDescent="0.3">
      <c r="A211" s="14" t="s">
        <v>21</v>
      </c>
      <c r="B211" s="13">
        <v>52925</v>
      </c>
      <c r="C211" s="13">
        <v>719160</v>
      </c>
      <c r="D211" s="13">
        <v>232131</v>
      </c>
      <c r="E211" s="13">
        <v>172746</v>
      </c>
      <c r="F211" s="13">
        <v>1176962</v>
      </c>
    </row>
    <row r="212" spans="1:6" x14ac:dyDescent="0.3">
      <c r="A212" s="14" t="s">
        <v>22</v>
      </c>
      <c r="B212" s="13">
        <v>23192</v>
      </c>
      <c r="C212" s="13">
        <v>352904</v>
      </c>
      <c r="D212" s="13">
        <v>315029</v>
      </c>
      <c r="E212" s="13">
        <v>63792</v>
      </c>
      <c r="F212" s="13">
        <v>754917</v>
      </c>
    </row>
    <row r="213" spans="1:6" x14ac:dyDescent="0.3">
      <c r="A213" s="14" t="s">
        <v>23</v>
      </c>
      <c r="B213" s="13">
        <v>12018</v>
      </c>
      <c r="C213" s="13">
        <v>96874</v>
      </c>
      <c r="D213" s="13">
        <v>269015</v>
      </c>
      <c r="E213" s="13">
        <v>21325</v>
      </c>
      <c r="F213" s="13">
        <v>399232</v>
      </c>
    </row>
    <row r="214" spans="1:6" x14ac:dyDescent="0.3">
      <c r="A214" s="15" t="s">
        <v>10</v>
      </c>
      <c r="B214" s="13">
        <v>4212720</v>
      </c>
      <c r="C214" s="13">
        <v>3769734</v>
      </c>
      <c r="D214" s="13">
        <v>974511</v>
      </c>
      <c r="E214" s="13">
        <v>980663</v>
      </c>
      <c r="F214" s="13">
        <v>9937628</v>
      </c>
    </row>
    <row r="215" spans="1:6" x14ac:dyDescent="0.3">
      <c r="A215" s="14" t="s">
        <v>24</v>
      </c>
      <c r="B215" s="13"/>
      <c r="C215" s="13"/>
      <c r="D215" s="13"/>
      <c r="E215" s="13"/>
      <c r="F215" s="13"/>
    </row>
    <row r="216" spans="1:6" x14ac:dyDescent="0.3">
      <c r="A216" s="16" t="s">
        <v>25</v>
      </c>
      <c r="B216" s="13">
        <v>3111761</v>
      </c>
      <c r="C216" s="13">
        <v>144852</v>
      </c>
      <c r="D216" s="13">
        <v>617</v>
      </c>
      <c r="E216" s="13">
        <v>13499</v>
      </c>
      <c r="F216" s="13">
        <v>3270729</v>
      </c>
    </row>
    <row r="217" spans="1:6" x14ac:dyDescent="0.3">
      <c r="A217" s="16" t="s">
        <v>26</v>
      </c>
      <c r="B217" s="13">
        <v>1012824</v>
      </c>
      <c r="C217" s="13">
        <v>2455944</v>
      </c>
      <c r="D217" s="13">
        <v>157719</v>
      </c>
      <c r="E217" s="13">
        <v>709301</v>
      </c>
      <c r="F217" s="13">
        <v>4335788</v>
      </c>
    </row>
    <row r="218" spans="1:6" x14ac:dyDescent="0.3">
      <c r="A218" s="16" t="s">
        <v>27</v>
      </c>
      <c r="B218" s="13">
        <v>88135</v>
      </c>
      <c r="C218" s="13">
        <v>1168938</v>
      </c>
      <c r="D218" s="13">
        <v>816175</v>
      </c>
      <c r="E218" s="13">
        <v>257863</v>
      </c>
      <c r="F218" s="13">
        <v>2331111</v>
      </c>
    </row>
    <row r="219" spans="1:6" x14ac:dyDescent="0.3">
      <c r="A219" s="16" t="s">
        <v>28</v>
      </c>
      <c r="B219" s="13">
        <v>1664102</v>
      </c>
      <c r="C219" s="13">
        <v>144852</v>
      </c>
      <c r="D219" s="13">
        <v>617</v>
      </c>
      <c r="E219" s="13">
        <v>13499</v>
      </c>
      <c r="F219" s="13">
        <v>1823070</v>
      </c>
    </row>
    <row r="220" spans="1:6" x14ac:dyDescent="0.3">
      <c r="A220" s="16" t="s">
        <v>29</v>
      </c>
      <c r="B220" s="13">
        <v>2765061</v>
      </c>
      <c r="C220" s="13">
        <v>3769734</v>
      </c>
      <c r="D220" s="13">
        <v>974511</v>
      </c>
      <c r="E220" s="13">
        <v>980663</v>
      </c>
      <c r="F220" s="13">
        <v>8489969</v>
      </c>
    </row>
    <row r="221" spans="1:6" x14ac:dyDescent="0.3">
      <c r="A221" s="12" t="s">
        <v>30</v>
      </c>
      <c r="B221" s="12"/>
      <c r="C221" s="12"/>
      <c r="D221" s="12"/>
      <c r="E221" s="12"/>
      <c r="F221" s="12"/>
    </row>
    <row r="222" spans="1:6" x14ac:dyDescent="0.3">
      <c r="A222" s="14" t="s">
        <v>13</v>
      </c>
      <c r="B222" s="13">
        <v>743245</v>
      </c>
      <c r="C222" s="13" t="s">
        <v>14</v>
      </c>
      <c r="D222" s="13" t="s">
        <v>14</v>
      </c>
      <c r="E222" s="13" t="s">
        <v>14</v>
      </c>
      <c r="F222" s="13">
        <v>743245</v>
      </c>
    </row>
    <row r="223" spans="1:6" x14ac:dyDescent="0.3">
      <c r="A223" s="14" t="s">
        <v>15</v>
      </c>
      <c r="B223" s="13">
        <v>303658</v>
      </c>
      <c r="C223" s="13">
        <v>342</v>
      </c>
      <c r="D223" s="13">
        <v>19</v>
      </c>
      <c r="E223" s="13">
        <v>56</v>
      </c>
      <c r="F223" s="13">
        <v>304075</v>
      </c>
    </row>
    <row r="224" spans="1:6" x14ac:dyDescent="0.3">
      <c r="A224" s="14" t="s">
        <v>16</v>
      </c>
      <c r="B224" s="13">
        <v>310888</v>
      </c>
      <c r="C224" s="13">
        <v>5672</v>
      </c>
      <c r="D224" s="13">
        <v>53</v>
      </c>
      <c r="E224" s="13">
        <v>426</v>
      </c>
      <c r="F224" s="13">
        <v>317039</v>
      </c>
    </row>
    <row r="225" spans="1:6" x14ac:dyDescent="0.3">
      <c r="A225" s="14" t="s">
        <v>17</v>
      </c>
      <c r="B225" s="13">
        <v>266725</v>
      </c>
      <c r="C225" s="13">
        <v>40153</v>
      </c>
      <c r="D225" s="13">
        <v>96</v>
      </c>
      <c r="E225" s="13">
        <v>3264</v>
      </c>
      <c r="F225" s="13">
        <v>310238</v>
      </c>
    </row>
    <row r="226" spans="1:6" x14ac:dyDescent="0.3">
      <c r="A226" s="14" t="s">
        <v>18</v>
      </c>
      <c r="B226" s="13">
        <v>391686</v>
      </c>
      <c r="C226" s="13">
        <v>346766</v>
      </c>
      <c r="D226" s="13">
        <v>1059</v>
      </c>
      <c r="E226" s="13">
        <v>58677</v>
      </c>
      <c r="F226" s="13">
        <v>798188</v>
      </c>
    </row>
    <row r="227" spans="1:6" x14ac:dyDescent="0.3">
      <c r="A227" s="14" t="s">
        <v>19</v>
      </c>
      <c r="B227" s="13">
        <v>148277</v>
      </c>
      <c r="C227" s="13">
        <v>386854</v>
      </c>
      <c r="D227" s="13">
        <v>4833</v>
      </c>
      <c r="E227" s="13">
        <v>115543</v>
      </c>
      <c r="F227" s="13">
        <v>655507</v>
      </c>
    </row>
    <row r="228" spans="1:6" x14ac:dyDescent="0.3">
      <c r="A228" s="14" t="s">
        <v>20</v>
      </c>
      <c r="B228" s="13">
        <v>81585</v>
      </c>
      <c r="C228" s="13">
        <v>446795</v>
      </c>
      <c r="D228" s="13">
        <v>22307</v>
      </c>
      <c r="E228" s="13">
        <v>128504</v>
      </c>
      <c r="F228" s="13">
        <v>679191</v>
      </c>
    </row>
    <row r="229" spans="1:6" x14ac:dyDescent="0.3">
      <c r="A229" s="14" t="s">
        <v>21</v>
      </c>
      <c r="B229" s="13">
        <v>28638</v>
      </c>
      <c r="C229" s="13">
        <v>378201</v>
      </c>
      <c r="D229" s="13">
        <v>38077</v>
      </c>
      <c r="E229" s="13">
        <v>70442</v>
      </c>
      <c r="F229" s="13">
        <v>515358</v>
      </c>
    </row>
    <row r="230" spans="1:6" x14ac:dyDescent="0.3">
      <c r="A230" s="14" t="s">
        <v>22</v>
      </c>
      <c r="B230" s="13">
        <v>9749</v>
      </c>
      <c r="C230" s="13">
        <v>204468</v>
      </c>
      <c r="D230" s="13">
        <v>44014</v>
      </c>
      <c r="E230" s="13">
        <v>20322</v>
      </c>
      <c r="F230" s="13">
        <v>278553</v>
      </c>
    </row>
    <row r="231" spans="1:6" x14ac:dyDescent="0.3">
      <c r="A231" s="14" t="s">
        <v>23</v>
      </c>
      <c r="B231" s="13">
        <v>2930</v>
      </c>
      <c r="C231" s="13">
        <v>68095</v>
      </c>
      <c r="D231" s="13">
        <v>41677</v>
      </c>
      <c r="E231" s="13">
        <v>4383</v>
      </c>
      <c r="F231" s="13">
        <v>117085</v>
      </c>
    </row>
    <row r="232" spans="1:6" x14ac:dyDescent="0.3">
      <c r="A232" s="15" t="s">
        <v>10</v>
      </c>
      <c r="B232" s="13">
        <v>2287381</v>
      </c>
      <c r="C232" s="13">
        <v>1877346</v>
      </c>
      <c r="D232" s="13">
        <v>152135</v>
      </c>
      <c r="E232" s="13">
        <v>401617</v>
      </c>
      <c r="F232" s="13">
        <v>4718479</v>
      </c>
    </row>
    <row r="233" spans="1:6" x14ac:dyDescent="0.3">
      <c r="A233" s="14" t="s">
        <v>24</v>
      </c>
      <c r="B233" s="13"/>
      <c r="C233" s="13"/>
      <c r="D233" s="13"/>
      <c r="E233" s="13"/>
      <c r="F233" s="13"/>
    </row>
    <row r="234" spans="1:6" x14ac:dyDescent="0.3">
      <c r="A234" s="16" t="s">
        <v>25</v>
      </c>
      <c r="B234" s="13">
        <v>1624516</v>
      </c>
      <c r="C234" s="13">
        <v>46167</v>
      </c>
      <c r="D234" s="13">
        <v>168</v>
      </c>
      <c r="E234" s="13">
        <v>3746</v>
      </c>
      <c r="F234" s="13">
        <v>1674597</v>
      </c>
    </row>
    <row r="235" spans="1:6" x14ac:dyDescent="0.3">
      <c r="A235" s="16" t="s">
        <v>26</v>
      </c>
      <c r="B235" s="13">
        <v>621548</v>
      </c>
      <c r="C235" s="13">
        <v>1180415</v>
      </c>
      <c r="D235" s="13">
        <v>28199</v>
      </c>
      <c r="E235" s="13">
        <v>302724</v>
      </c>
      <c r="F235" s="13">
        <v>2132886</v>
      </c>
    </row>
    <row r="236" spans="1:6" x14ac:dyDescent="0.3">
      <c r="A236" s="16" t="s">
        <v>27</v>
      </c>
      <c r="B236" s="13">
        <v>41317</v>
      </c>
      <c r="C236" s="13">
        <v>650764</v>
      </c>
      <c r="D236" s="13">
        <v>123768</v>
      </c>
      <c r="E236" s="13">
        <v>95147</v>
      </c>
      <c r="F236" s="13">
        <v>910996</v>
      </c>
    </row>
    <row r="237" spans="1:6" x14ac:dyDescent="0.3">
      <c r="A237" s="16" t="s">
        <v>28</v>
      </c>
      <c r="B237" s="13">
        <v>881271</v>
      </c>
      <c r="C237" s="13">
        <v>46167</v>
      </c>
      <c r="D237" s="13">
        <v>168</v>
      </c>
      <c r="E237" s="13">
        <v>3746</v>
      </c>
      <c r="F237" s="13">
        <v>931352</v>
      </c>
    </row>
    <row r="238" spans="1:6" x14ac:dyDescent="0.3">
      <c r="A238" s="16" t="s">
        <v>29</v>
      </c>
      <c r="B238" s="13">
        <v>1544136</v>
      </c>
      <c r="C238" s="13">
        <v>1877346</v>
      </c>
      <c r="D238" s="13">
        <v>152135</v>
      </c>
      <c r="E238" s="13">
        <v>401617</v>
      </c>
      <c r="F238" s="13">
        <v>3975234</v>
      </c>
    </row>
    <row r="239" spans="1:6" x14ac:dyDescent="0.3">
      <c r="A239" s="12" t="s">
        <v>31</v>
      </c>
      <c r="B239" s="12"/>
      <c r="C239" s="12"/>
      <c r="D239" s="12"/>
      <c r="E239" s="12"/>
      <c r="F239" s="12"/>
    </row>
    <row r="240" spans="1:6" x14ac:dyDescent="0.3">
      <c r="A240" s="14" t="s">
        <v>13</v>
      </c>
      <c r="B240" s="13">
        <v>704414</v>
      </c>
      <c r="C240" s="13" t="s">
        <v>14</v>
      </c>
      <c r="D240" s="13" t="s">
        <v>14</v>
      </c>
      <c r="E240" s="13" t="s">
        <v>14</v>
      </c>
      <c r="F240" s="13">
        <v>704414</v>
      </c>
    </row>
    <row r="241" spans="1:6" x14ac:dyDescent="0.3">
      <c r="A241" s="14" t="s">
        <v>15</v>
      </c>
      <c r="B241" s="13">
        <v>287634</v>
      </c>
      <c r="C241" s="13">
        <v>1689</v>
      </c>
      <c r="D241" s="13">
        <v>19</v>
      </c>
      <c r="E241" s="13">
        <v>117</v>
      </c>
      <c r="F241" s="13">
        <v>289459</v>
      </c>
    </row>
    <row r="242" spans="1:6" x14ac:dyDescent="0.3">
      <c r="A242" s="14" t="s">
        <v>16</v>
      </c>
      <c r="B242" s="13">
        <v>283615</v>
      </c>
      <c r="C242" s="13">
        <v>16214</v>
      </c>
      <c r="D242" s="13">
        <v>62</v>
      </c>
      <c r="E242" s="13">
        <v>1305</v>
      </c>
      <c r="F242" s="13">
        <v>301196</v>
      </c>
    </row>
    <row r="243" spans="1:6" x14ac:dyDescent="0.3">
      <c r="A243" s="14" t="s">
        <v>17</v>
      </c>
      <c r="B243" s="13">
        <v>211582</v>
      </c>
      <c r="C243" s="13">
        <v>80782</v>
      </c>
      <c r="D243" s="13">
        <v>368</v>
      </c>
      <c r="E243" s="13">
        <v>8331</v>
      </c>
      <c r="F243" s="13">
        <v>301063</v>
      </c>
    </row>
    <row r="244" spans="1:6" x14ac:dyDescent="0.3">
      <c r="A244" s="14" t="s">
        <v>18</v>
      </c>
      <c r="B244" s="13">
        <v>269364</v>
      </c>
      <c r="C244" s="13">
        <v>413822</v>
      </c>
      <c r="D244" s="13">
        <v>5346</v>
      </c>
      <c r="E244" s="13">
        <v>94193</v>
      </c>
      <c r="F244" s="13">
        <v>782725</v>
      </c>
    </row>
    <row r="245" spans="1:6" x14ac:dyDescent="0.3">
      <c r="A245" s="14" t="s">
        <v>19</v>
      </c>
      <c r="B245" s="13">
        <v>81726</v>
      </c>
      <c r="C245" s="13">
        <v>404283</v>
      </c>
      <c r="D245" s="13">
        <v>25337</v>
      </c>
      <c r="E245" s="13">
        <v>149340</v>
      </c>
      <c r="F245" s="13">
        <v>660686</v>
      </c>
    </row>
    <row r="246" spans="1:6" x14ac:dyDescent="0.3">
      <c r="A246" s="14" t="s">
        <v>20</v>
      </c>
      <c r="B246" s="13">
        <v>40186</v>
      </c>
      <c r="C246" s="13">
        <v>457424</v>
      </c>
      <c r="D246" s="13">
        <v>98837</v>
      </c>
      <c r="E246" s="13">
        <v>163044</v>
      </c>
      <c r="F246" s="13">
        <v>759491</v>
      </c>
    </row>
    <row r="247" spans="1:6" x14ac:dyDescent="0.3">
      <c r="A247" s="14" t="s">
        <v>21</v>
      </c>
      <c r="B247" s="13">
        <v>24287</v>
      </c>
      <c r="C247" s="13">
        <v>340959</v>
      </c>
      <c r="D247" s="13">
        <v>194054</v>
      </c>
      <c r="E247" s="13">
        <v>102304</v>
      </c>
      <c r="F247" s="13">
        <v>661604</v>
      </c>
    </row>
    <row r="248" spans="1:6" x14ac:dyDescent="0.3">
      <c r="A248" s="14" t="s">
        <v>22</v>
      </c>
      <c r="B248" s="13">
        <v>13443</v>
      </c>
      <c r="C248" s="13">
        <v>148436</v>
      </c>
      <c r="D248" s="13">
        <v>271015</v>
      </c>
      <c r="E248" s="13">
        <v>43470</v>
      </c>
      <c r="F248" s="13">
        <v>476364</v>
      </c>
    </row>
    <row r="249" spans="1:6" x14ac:dyDescent="0.3">
      <c r="A249" s="14" t="s">
        <v>23</v>
      </c>
      <c r="B249" s="13">
        <v>9088</v>
      </c>
      <c r="C249" s="13">
        <v>28779</v>
      </c>
      <c r="D249" s="13">
        <v>227338</v>
      </c>
      <c r="E249" s="13">
        <v>16942</v>
      </c>
      <c r="F249" s="13">
        <v>282147</v>
      </c>
    </row>
    <row r="250" spans="1:6" x14ac:dyDescent="0.3">
      <c r="A250" s="15" t="s">
        <v>10</v>
      </c>
      <c r="B250" s="13">
        <v>1925339</v>
      </c>
      <c r="C250" s="13">
        <v>1892388</v>
      </c>
      <c r="D250" s="13">
        <v>822376</v>
      </c>
      <c r="E250" s="13">
        <v>579046</v>
      </c>
      <c r="F250" s="13">
        <v>5219149</v>
      </c>
    </row>
    <row r="251" spans="1:6" x14ac:dyDescent="0.3">
      <c r="A251" s="14" t="s">
        <v>24</v>
      </c>
      <c r="B251" s="13"/>
      <c r="C251" s="13"/>
      <c r="D251" s="13"/>
      <c r="E251" s="13"/>
      <c r="F251" s="13"/>
    </row>
    <row r="252" spans="1:6" x14ac:dyDescent="0.3">
      <c r="A252" s="16" t="s">
        <v>25</v>
      </c>
      <c r="B252" s="13">
        <v>1487245</v>
      </c>
      <c r="C252" s="13">
        <v>98685</v>
      </c>
      <c r="D252" s="13">
        <v>449</v>
      </c>
      <c r="E252" s="13">
        <v>9753</v>
      </c>
      <c r="F252" s="13">
        <v>1596132</v>
      </c>
    </row>
    <row r="253" spans="1:6" x14ac:dyDescent="0.3">
      <c r="A253" s="16" t="s">
        <v>26</v>
      </c>
      <c r="B253" s="13">
        <v>391276</v>
      </c>
      <c r="C253" s="13">
        <v>1275529</v>
      </c>
      <c r="D253" s="13">
        <v>129520</v>
      </c>
      <c r="E253" s="13">
        <v>406577</v>
      </c>
      <c r="F253" s="13">
        <v>2202902</v>
      </c>
    </row>
    <row r="254" spans="1:6" x14ac:dyDescent="0.3">
      <c r="A254" s="16" t="s">
        <v>27</v>
      </c>
      <c r="B254" s="13">
        <v>46818</v>
      </c>
      <c r="C254" s="13">
        <v>518174</v>
      </c>
      <c r="D254" s="13">
        <v>692407</v>
      </c>
      <c r="E254" s="13">
        <v>162716</v>
      </c>
      <c r="F254" s="13">
        <v>1420115</v>
      </c>
    </row>
    <row r="255" spans="1:6" x14ac:dyDescent="0.3">
      <c r="A255" s="16" t="s">
        <v>28</v>
      </c>
      <c r="B255" s="13">
        <v>782831</v>
      </c>
      <c r="C255" s="13">
        <v>98685</v>
      </c>
      <c r="D255" s="13">
        <v>449</v>
      </c>
      <c r="E255" s="13">
        <v>9753</v>
      </c>
      <c r="F255" s="13">
        <v>891718</v>
      </c>
    </row>
    <row r="256" spans="1:6" x14ac:dyDescent="0.3">
      <c r="A256" s="16" t="s">
        <v>29</v>
      </c>
      <c r="B256" s="13">
        <v>1220925</v>
      </c>
      <c r="C256" s="13">
        <v>1892388</v>
      </c>
      <c r="D256" s="13">
        <v>822376</v>
      </c>
      <c r="E256" s="13">
        <v>579046</v>
      </c>
      <c r="F256" s="13">
        <v>4514735</v>
      </c>
    </row>
    <row r="257" spans="1:6" x14ac:dyDescent="0.3">
      <c r="A257" s="12" t="s">
        <v>32</v>
      </c>
      <c r="B257" s="12"/>
      <c r="C257" s="12"/>
      <c r="D257" s="12"/>
      <c r="E257" s="12"/>
      <c r="F257" s="12"/>
    </row>
    <row r="258" spans="1:6" x14ac:dyDescent="0.3">
      <c r="A258" s="12" t="s">
        <v>33</v>
      </c>
      <c r="B258" s="12"/>
      <c r="C258" s="12"/>
      <c r="D258" s="12"/>
      <c r="E258" s="12"/>
      <c r="F258" s="12"/>
    </row>
    <row r="259" spans="1:6" x14ac:dyDescent="0.3">
      <c r="A259" s="14" t="s">
        <v>13</v>
      </c>
      <c r="B259" s="13">
        <v>53</v>
      </c>
      <c r="C259" s="13" t="s">
        <v>14</v>
      </c>
      <c r="D259" s="13" t="s">
        <v>14</v>
      </c>
      <c r="E259" s="13" t="s">
        <v>14</v>
      </c>
      <c r="F259" s="13">
        <v>53</v>
      </c>
    </row>
    <row r="260" spans="1:6" x14ac:dyDescent="0.3">
      <c r="A260" s="14" t="s">
        <v>15</v>
      </c>
      <c r="B260" s="13">
        <v>11310</v>
      </c>
      <c r="C260" s="13">
        <v>1809</v>
      </c>
      <c r="D260" s="13">
        <v>3</v>
      </c>
      <c r="E260" s="13">
        <v>33</v>
      </c>
      <c r="F260" s="13">
        <v>13155</v>
      </c>
    </row>
    <row r="261" spans="1:6" x14ac:dyDescent="0.3">
      <c r="A261" s="14" t="s">
        <v>16</v>
      </c>
      <c r="B261" s="13">
        <v>66457</v>
      </c>
      <c r="C261" s="13">
        <v>19123</v>
      </c>
      <c r="D261" s="13">
        <v>21</v>
      </c>
      <c r="E261" s="13">
        <v>540</v>
      </c>
      <c r="F261" s="13">
        <v>86141</v>
      </c>
    </row>
    <row r="262" spans="1:6" x14ac:dyDescent="0.3">
      <c r="A262" s="14" t="s">
        <v>17</v>
      </c>
      <c r="B262" s="13">
        <v>115635</v>
      </c>
      <c r="C262" s="13">
        <v>108644</v>
      </c>
      <c r="D262" s="13">
        <v>120</v>
      </c>
      <c r="E262" s="13">
        <v>3787</v>
      </c>
      <c r="F262" s="13">
        <v>228186</v>
      </c>
    </row>
    <row r="263" spans="1:6" x14ac:dyDescent="0.3">
      <c r="A263" s="14" t="s">
        <v>18</v>
      </c>
      <c r="B263" s="13">
        <v>225952</v>
      </c>
      <c r="C263" s="13">
        <v>708413</v>
      </c>
      <c r="D263" s="13">
        <v>1445</v>
      </c>
      <c r="E263" s="13">
        <v>48961</v>
      </c>
      <c r="F263" s="13">
        <v>984771</v>
      </c>
    </row>
    <row r="264" spans="1:6" x14ac:dyDescent="0.3">
      <c r="A264" s="14" t="s">
        <v>19</v>
      </c>
      <c r="B264" s="13">
        <v>67048</v>
      </c>
      <c r="C264" s="13">
        <v>744232</v>
      </c>
      <c r="D264" s="13">
        <v>5161</v>
      </c>
      <c r="E264" s="13">
        <v>73514</v>
      </c>
      <c r="F264" s="13">
        <v>889955</v>
      </c>
    </row>
    <row r="265" spans="1:6" x14ac:dyDescent="0.3">
      <c r="A265" s="14" t="s">
        <v>20</v>
      </c>
      <c r="B265" s="13">
        <v>23610</v>
      </c>
      <c r="C265" s="13">
        <v>855220</v>
      </c>
      <c r="D265" s="13">
        <v>12659</v>
      </c>
      <c r="E265" s="13">
        <v>66013</v>
      </c>
      <c r="F265" s="13">
        <v>957502</v>
      </c>
    </row>
    <row r="266" spans="1:6" x14ac:dyDescent="0.3">
      <c r="A266" s="14" t="s">
        <v>21</v>
      </c>
      <c r="B266" s="13">
        <v>6897</v>
      </c>
      <c r="C266" s="13">
        <v>687677</v>
      </c>
      <c r="D266" s="13">
        <v>12480</v>
      </c>
      <c r="E266" s="13">
        <v>31817</v>
      </c>
      <c r="F266" s="13">
        <v>738871</v>
      </c>
    </row>
    <row r="267" spans="1:6" x14ac:dyDescent="0.3">
      <c r="A267" s="14" t="s">
        <v>22</v>
      </c>
      <c r="B267" s="13">
        <v>1885</v>
      </c>
      <c r="C267" s="13">
        <v>341383</v>
      </c>
      <c r="D267" s="13">
        <v>7444</v>
      </c>
      <c r="E267" s="13">
        <v>7659</v>
      </c>
      <c r="F267" s="13">
        <v>358371</v>
      </c>
    </row>
    <row r="268" spans="1:6" x14ac:dyDescent="0.3">
      <c r="A268" s="14" t="s">
        <v>23</v>
      </c>
      <c r="B268" s="13">
        <v>375</v>
      </c>
      <c r="C268" s="13">
        <v>92781</v>
      </c>
      <c r="D268" s="13">
        <v>2300</v>
      </c>
      <c r="E268" s="13">
        <v>1071</v>
      </c>
      <c r="F268" s="13">
        <v>96527</v>
      </c>
    </row>
    <row r="269" spans="1:6" x14ac:dyDescent="0.3">
      <c r="A269" s="15" t="s">
        <v>10</v>
      </c>
      <c r="B269" s="13">
        <v>519222</v>
      </c>
      <c r="C269" s="13">
        <v>3559282</v>
      </c>
      <c r="D269" s="13">
        <v>41633</v>
      </c>
      <c r="E269" s="13">
        <v>233395</v>
      </c>
      <c r="F269" s="13">
        <v>4353532</v>
      </c>
    </row>
    <row r="270" spans="1:6" x14ac:dyDescent="0.3">
      <c r="A270" s="14" t="s">
        <v>24</v>
      </c>
      <c r="B270" s="13"/>
      <c r="C270" s="13"/>
      <c r="D270" s="13"/>
      <c r="E270" s="13"/>
      <c r="F270" s="13"/>
    </row>
    <row r="271" spans="1:6" x14ac:dyDescent="0.3">
      <c r="A271" s="16" t="s">
        <v>25</v>
      </c>
      <c r="B271" s="13">
        <v>193455</v>
      </c>
      <c r="C271" s="13">
        <v>129576</v>
      </c>
      <c r="D271" s="13">
        <v>144</v>
      </c>
      <c r="E271" s="13">
        <v>4360</v>
      </c>
      <c r="F271" s="13">
        <v>327535</v>
      </c>
    </row>
    <row r="272" spans="1:6" x14ac:dyDescent="0.3">
      <c r="A272" s="16" t="s">
        <v>26</v>
      </c>
      <c r="B272" s="13">
        <v>316610</v>
      </c>
      <c r="C272" s="13">
        <v>2307865</v>
      </c>
      <c r="D272" s="13">
        <v>19265</v>
      </c>
      <c r="E272" s="13">
        <v>188488</v>
      </c>
      <c r="F272" s="13">
        <v>2832228</v>
      </c>
    </row>
    <row r="273" spans="1:6" x14ac:dyDescent="0.3">
      <c r="A273" s="16" t="s">
        <v>27</v>
      </c>
      <c r="B273" s="13">
        <v>9157</v>
      </c>
      <c r="C273" s="13">
        <v>1121841</v>
      </c>
      <c r="D273" s="13">
        <v>22224</v>
      </c>
      <c r="E273" s="13">
        <v>40547</v>
      </c>
      <c r="F273" s="13">
        <v>1193769</v>
      </c>
    </row>
    <row r="274" spans="1:6" x14ac:dyDescent="0.3">
      <c r="A274" s="16" t="s">
        <v>28</v>
      </c>
      <c r="B274" s="13">
        <v>193402</v>
      </c>
      <c r="C274" s="13">
        <v>129576</v>
      </c>
      <c r="D274" s="13">
        <v>144</v>
      </c>
      <c r="E274" s="13">
        <v>4360</v>
      </c>
      <c r="F274" s="13">
        <v>327482</v>
      </c>
    </row>
    <row r="275" spans="1:6" x14ac:dyDescent="0.3">
      <c r="A275" s="16" t="s">
        <v>29</v>
      </c>
      <c r="B275" s="13">
        <v>519169</v>
      </c>
      <c r="C275" s="13">
        <v>3559282</v>
      </c>
      <c r="D275" s="13">
        <v>41633</v>
      </c>
      <c r="E275" s="13">
        <v>233395</v>
      </c>
      <c r="F275" s="13">
        <v>4353479</v>
      </c>
    </row>
    <row r="276" spans="1:6" x14ac:dyDescent="0.3">
      <c r="A276" s="12" t="s">
        <v>34</v>
      </c>
      <c r="B276" s="12"/>
      <c r="C276" s="12"/>
      <c r="D276" s="12"/>
      <c r="E276" s="12"/>
      <c r="F276" s="12"/>
    </row>
    <row r="277" spans="1:6" x14ac:dyDescent="0.3">
      <c r="A277" s="14" t="s">
        <v>13</v>
      </c>
      <c r="B277" s="13" t="s">
        <v>14</v>
      </c>
      <c r="C277" s="13" t="s">
        <v>14</v>
      </c>
      <c r="D277" s="13" t="s">
        <v>14</v>
      </c>
      <c r="E277" s="13" t="s">
        <v>14</v>
      </c>
      <c r="F277" s="13" t="s">
        <v>14</v>
      </c>
    </row>
    <row r="278" spans="1:6" x14ac:dyDescent="0.3">
      <c r="A278" s="14" t="s">
        <v>15</v>
      </c>
      <c r="B278" s="13" t="s">
        <v>14</v>
      </c>
      <c r="C278" s="13">
        <v>1786</v>
      </c>
      <c r="D278" s="13" t="s">
        <v>14</v>
      </c>
      <c r="E278" s="13" t="s">
        <v>14</v>
      </c>
      <c r="F278" s="13">
        <v>1786</v>
      </c>
    </row>
    <row r="279" spans="1:6" x14ac:dyDescent="0.3">
      <c r="A279" s="14" t="s">
        <v>16</v>
      </c>
      <c r="B279" s="13" t="s">
        <v>14</v>
      </c>
      <c r="C279" s="13">
        <v>18934</v>
      </c>
      <c r="D279" s="13" t="s">
        <v>14</v>
      </c>
      <c r="E279" s="13" t="s">
        <v>14</v>
      </c>
      <c r="F279" s="13">
        <v>18934</v>
      </c>
    </row>
    <row r="280" spans="1:6" x14ac:dyDescent="0.3">
      <c r="A280" s="14" t="s">
        <v>17</v>
      </c>
      <c r="B280" s="13" t="s">
        <v>14</v>
      </c>
      <c r="C280" s="13">
        <v>108053</v>
      </c>
      <c r="D280" s="13" t="s">
        <v>14</v>
      </c>
      <c r="E280" s="13" t="s">
        <v>14</v>
      </c>
      <c r="F280" s="13">
        <v>108053</v>
      </c>
    </row>
    <row r="281" spans="1:6" x14ac:dyDescent="0.3">
      <c r="A281" s="14" t="s">
        <v>18</v>
      </c>
      <c r="B281" s="13" t="s">
        <v>14</v>
      </c>
      <c r="C281" s="13">
        <v>704833</v>
      </c>
      <c r="D281" s="13" t="s">
        <v>14</v>
      </c>
      <c r="E281" s="13" t="s">
        <v>14</v>
      </c>
      <c r="F281" s="13">
        <v>704833</v>
      </c>
    </row>
    <row r="282" spans="1:6" x14ac:dyDescent="0.3">
      <c r="A282" s="14" t="s">
        <v>19</v>
      </c>
      <c r="B282" s="13" t="s">
        <v>14</v>
      </c>
      <c r="C282" s="13">
        <v>739704</v>
      </c>
      <c r="D282" s="13" t="s">
        <v>14</v>
      </c>
      <c r="E282" s="13" t="s">
        <v>14</v>
      </c>
      <c r="F282" s="13">
        <v>739704</v>
      </c>
    </row>
    <row r="283" spans="1:6" x14ac:dyDescent="0.3">
      <c r="A283" s="14" t="s">
        <v>20</v>
      </c>
      <c r="B283" s="13" t="s">
        <v>14</v>
      </c>
      <c r="C283" s="13">
        <v>851116</v>
      </c>
      <c r="D283" s="13" t="s">
        <v>14</v>
      </c>
      <c r="E283" s="13" t="s">
        <v>14</v>
      </c>
      <c r="F283" s="13">
        <v>851116</v>
      </c>
    </row>
    <row r="284" spans="1:6" x14ac:dyDescent="0.3">
      <c r="A284" s="14" t="s">
        <v>21</v>
      </c>
      <c r="B284" s="13" t="s">
        <v>14</v>
      </c>
      <c r="C284" s="13">
        <v>685851</v>
      </c>
      <c r="D284" s="13" t="s">
        <v>14</v>
      </c>
      <c r="E284" s="13" t="s">
        <v>14</v>
      </c>
      <c r="F284" s="13">
        <v>685851</v>
      </c>
    </row>
    <row r="285" spans="1:6" x14ac:dyDescent="0.3">
      <c r="A285" s="14" t="s">
        <v>22</v>
      </c>
      <c r="B285" s="13" t="s">
        <v>14</v>
      </c>
      <c r="C285" s="13">
        <v>340945</v>
      </c>
      <c r="D285" s="13" t="s">
        <v>14</v>
      </c>
      <c r="E285" s="13" t="s">
        <v>14</v>
      </c>
      <c r="F285" s="13">
        <v>340945</v>
      </c>
    </row>
    <row r="286" spans="1:6" x14ac:dyDescent="0.3">
      <c r="A286" s="14" t="s">
        <v>23</v>
      </c>
      <c r="B286" s="13" t="s">
        <v>14</v>
      </c>
      <c r="C286" s="13">
        <v>92712</v>
      </c>
      <c r="D286" s="13" t="s">
        <v>14</v>
      </c>
      <c r="E286" s="13" t="s">
        <v>14</v>
      </c>
      <c r="F286" s="13">
        <v>92712</v>
      </c>
    </row>
    <row r="287" spans="1:6" x14ac:dyDescent="0.3">
      <c r="A287" s="15" t="s">
        <v>10</v>
      </c>
      <c r="B287" s="13" t="s">
        <v>14</v>
      </c>
      <c r="C287" s="13">
        <v>3543934</v>
      </c>
      <c r="D287" s="13" t="s">
        <v>14</v>
      </c>
      <c r="E287" s="13" t="s">
        <v>14</v>
      </c>
      <c r="F287" s="13">
        <v>3543934</v>
      </c>
    </row>
    <row r="288" spans="1:6" x14ac:dyDescent="0.3">
      <c r="A288" s="14" t="s">
        <v>24</v>
      </c>
      <c r="B288" s="13"/>
      <c r="C288" s="13"/>
      <c r="D288" s="13"/>
      <c r="E288" s="13"/>
      <c r="F288" s="13"/>
    </row>
    <row r="289" spans="1:6" x14ac:dyDescent="0.3">
      <c r="A289" s="16" t="s">
        <v>25</v>
      </c>
      <c r="B289" s="13" t="s">
        <v>14</v>
      </c>
      <c r="C289" s="13">
        <v>128773</v>
      </c>
      <c r="D289" s="13" t="s">
        <v>14</v>
      </c>
      <c r="E289" s="13" t="s">
        <v>14</v>
      </c>
      <c r="F289" s="13">
        <v>128773</v>
      </c>
    </row>
    <row r="290" spans="1:6" x14ac:dyDescent="0.3">
      <c r="A290" s="16" t="s">
        <v>26</v>
      </c>
      <c r="B290" s="13" t="s">
        <v>14</v>
      </c>
      <c r="C290" s="13">
        <v>2295653</v>
      </c>
      <c r="D290" s="13" t="s">
        <v>14</v>
      </c>
      <c r="E290" s="13" t="s">
        <v>14</v>
      </c>
      <c r="F290" s="13">
        <v>2295653</v>
      </c>
    </row>
    <row r="291" spans="1:6" x14ac:dyDescent="0.3">
      <c r="A291" s="16" t="s">
        <v>27</v>
      </c>
      <c r="B291" s="13" t="s">
        <v>14</v>
      </c>
      <c r="C291" s="13">
        <v>1119508</v>
      </c>
      <c r="D291" s="13" t="s">
        <v>14</v>
      </c>
      <c r="E291" s="13" t="s">
        <v>14</v>
      </c>
      <c r="F291" s="13">
        <v>1119508</v>
      </c>
    </row>
    <row r="292" spans="1:6" x14ac:dyDescent="0.3">
      <c r="A292" s="16" t="s">
        <v>28</v>
      </c>
      <c r="B292" s="13" t="s">
        <v>14</v>
      </c>
      <c r="C292" s="13">
        <v>128773</v>
      </c>
      <c r="D292" s="13" t="s">
        <v>14</v>
      </c>
      <c r="E292" s="13" t="s">
        <v>14</v>
      </c>
      <c r="F292" s="13">
        <v>128773</v>
      </c>
    </row>
    <row r="293" spans="1:6" x14ac:dyDescent="0.3">
      <c r="A293" s="16" t="s">
        <v>29</v>
      </c>
      <c r="B293" s="13" t="s">
        <v>14</v>
      </c>
      <c r="C293" s="13">
        <v>3543934</v>
      </c>
      <c r="D293" s="13" t="s">
        <v>14</v>
      </c>
      <c r="E293" s="13" t="s">
        <v>14</v>
      </c>
      <c r="F293" s="13">
        <v>3543934</v>
      </c>
    </row>
    <row r="294" spans="1:6" x14ac:dyDescent="0.3">
      <c r="A294" s="12" t="s">
        <v>35</v>
      </c>
      <c r="B294" s="12"/>
      <c r="C294" s="12"/>
      <c r="D294" s="12"/>
      <c r="E294" s="12"/>
      <c r="F294" s="12"/>
    </row>
    <row r="295" spans="1:6" x14ac:dyDescent="0.3">
      <c r="A295" s="14" t="s">
        <v>13</v>
      </c>
      <c r="B295" s="13">
        <v>53</v>
      </c>
      <c r="C295" s="13" t="s">
        <v>14</v>
      </c>
      <c r="D295" s="13" t="s">
        <v>14</v>
      </c>
      <c r="E295" s="13" t="s">
        <v>14</v>
      </c>
      <c r="F295" s="13">
        <v>53</v>
      </c>
    </row>
    <row r="296" spans="1:6" x14ac:dyDescent="0.3">
      <c r="A296" s="14" t="s">
        <v>15</v>
      </c>
      <c r="B296" s="13">
        <v>11310</v>
      </c>
      <c r="C296" s="13">
        <v>23</v>
      </c>
      <c r="D296" s="13">
        <v>3</v>
      </c>
      <c r="E296" s="13">
        <v>33</v>
      </c>
      <c r="F296" s="13">
        <v>11369</v>
      </c>
    </row>
    <row r="297" spans="1:6" x14ac:dyDescent="0.3">
      <c r="A297" s="14" t="s">
        <v>16</v>
      </c>
      <c r="B297" s="13">
        <v>66457</v>
      </c>
      <c r="C297" s="13">
        <v>189</v>
      </c>
      <c r="D297" s="13">
        <v>21</v>
      </c>
      <c r="E297" s="13">
        <v>540</v>
      </c>
      <c r="F297" s="13">
        <v>67207</v>
      </c>
    </row>
    <row r="298" spans="1:6" x14ac:dyDescent="0.3">
      <c r="A298" s="14" t="s">
        <v>17</v>
      </c>
      <c r="B298" s="13">
        <v>115635</v>
      </c>
      <c r="C298" s="13">
        <v>591</v>
      </c>
      <c r="D298" s="13">
        <v>120</v>
      </c>
      <c r="E298" s="13">
        <v>3787</v>
      </c>
      <c r="F298" s="13">
        <v>120133</v>
      </c>
    </row>
    <row r="299" spans="1:6" x14ac:dyDescent="0.3">
      <c r="A299" s="14" t="s">
        <v>18</v>
      </c>
      <c r="B299" s="13">
        <v>225952</v>
      </c>
      <c r="C299" s="13">
        <v>3580</v>
      </c>
      <c r="D299" s="13">
        <v>1445</v>
      </c>
      <c r="E299" s="13">
        <v>48961</v>
      </c>
      <c r="F299" s="13">
        <v>279938</v>
      </c>
    </row>
    <row r="300" spans="1:6" x14ac:dyDescent="0.3">
      <c r="A300" s="14" t="s">
        <v>19</v>
      </c>
      <c r="B300" s="13">
        <v>67048</v>
      </c>
      <c r="C300" s="13">
        <v>4528</v>
      </c>
      <c r="D300" s="13">
        <v>5161</v>
      </c>
      <c r="E300" s="13">
        <v>73514</v>
      </c>
      <c r="F300" s="13">
        <v>150251</v>
      </c>
    </row>
    <row r="301" spans="1:6" x14ac:dyDescent="0.3">
      <c r="A301" s="14" t="s">
        <v>20</v>
      </c>
      <c r="B301" s="13">
        <v>23610</v>
      </c>
      <c r="C301" s="13">
        <v>4104</v>
      </c>
      <c r="D301" s="13">
        <v>12659</v>
      </c>
      <c r="E301" s="13">
        <v>66013</v>
      </c>
      <c r="F301" s="13">
        <v>106386</v>
      </c>
    </row>
    <row r="302" spans="1:6" x14ac:dyDescent="0.3">
      <c r="A302" s="14" t="s">
        <v>21</v>
      </c>
      <c r="B302" s="13">
        <v>6897</v>
      </c>
      <c r="C302" s="13">
        <v>1826</v>
      </c>
      <c r="D302" s="13">
        <v>12480</v>
      </c>
      <c r="E302" s="13">
        <v>31817</v>
      </c>
      <c r="F302" s="13">
        <v>53020</v>
      </c>
    </row>
    <row r="303" spans="1:6" x14ac:dyDescent="0.3">
      <c r="A303" s="14" t="s">
        <v>22</v>
      </c>
      <c r="B303" s="13">
        <v>1885</v>
      </c>
      <c r="C303" s="13">
        <v>438</v>
      </c>
      <c r="D303" s="13">
        <v>7444</v>
      </c>
      <c r="E303" s="13">
        <v>7659</v>
      </c>
      <c r="F303" s="13">
        <v>17426</v>
      </c>
    </row>
    <row r="304" spans="1:6" x14ac:dyDescent="0.3">
      <c r="A304" s="14" t="s">
        <v>23</v>
      </c>
      <c r="B304" s="13">
        <v>375</v>
      </c>
      <c r="C304" s="13">
        <v>69</v>
      </c>
      <c r="D304" s="13">
        <v>2300</v>
      </c>
      <c r="E304" s="13">
        <v>1071</v>
      </c>
      <c r="F304" s="13">
        <v>3815</v>
      </c>
    </row>
    <row r="305" spans="1:6" x14ac:dyDescent="0.3">
      <c r="A305" s="15" t="s">
        <v>10</v>
      </c>
      <c r="B305" s="13">
        <v>519222</v>
      </c>
      <c r="C305" s="13">
        <v>15348</v>
      </c>
      <c r="D305" s="13">
        <v>41633</v>
      </c>
      <c r="E305" s="13">
        <v>233395</v>
      </c>
      <c r="F305" s="13">
        <v>809598</v>
      </c>
    </row>
    <row r="306" spans="1:6" x14ac:dyDescent="0.3">
      <c r="A306" s="14" t="s">
        <v>24</v>
      </c>
      <c r="B306" s="13"/>
      <c r="C306" s="13"/>
      <c r="D306" s="13"/>
      <c r="E306" s="13"/>
      <c r="F306" s="13"/>
    </row>
    <row r="307" spans="1:6" x14ac:dyDescent="0.3">
      <c r="A307" s="16" t="s">
        <v>25</v>
      </c>
      <c r="B307" s="13">
        <v>193455</v>
      </c>
      <c r="C307" s="13">
        <v>803</v>
      </c>
      <c r="D307" s="13">
        <v>144</v>
      </c>
      <c r="E307" s="13">
        <v>4360</v>
      </c>
      <c r="F307" s="13">
        <v>198762</v>
      </c>
    </row>
    <row r="308" spans="1:6" x14ac:dyDescent="0.3">
      <c r="A308" s="16" t="s">
        <v>26</v>
      </c>
      <c r="B308" s="13">
        <v>316610</v>
      </c>
      <c r="C308" s="13">
        <v>12212</v>
      </c>
      <c r="D308" s="13">
        <v>19265</v>
      </c>
      <c r="E308" s="13">
        <v>188488</v>
      </c>
      <c r="F308" s="13">
        <v>536575</v>
      </c>
    </row>
    <row r="309" spans="1:6" x14ac:dyDescent="0.3">
      <c r="A309" s="16" t="s">
        <v>27</v>
      </c>
      <c r="B309" s="13">
        <v>9157</v>
      </c>
      <c r="C309" s="13">
        <v>2333</v>
      </c>
      <c r="D309" s="13">
        <v>22224</v>
      </c>
      <c r="E309" s="13">
        <v>40547</v>
      </c>
      <c r="F309" s="13">
        <v>74261</v>
      </c>
    </row>
    <row r="310" spans="1:6" x14ac:dyDescent="0.3">
      <c r="A310" s="16" t="s">
        <v>28</v>
      </c>
      <c r="B310" s="13">
        <v>193402</v>
      </c>
      <c r="C310" s="13">
        <v>803</v>
      </c>
      <c r="D310" s="13">
        <v>144</v>
      </c>
      <c r="E310" s="13">
        <v>4360</v>
      </c>
      <c r="F310" s="13">
        <v>198709</v>
      </c>
    </row>
    <row r="311" spans="1:6" x14ac:dyDescent="0.3">
      <c r="A311" s="16" t="s">
        <v>29</v>
      </c>
      <c r="B311" s="13">
        <v>519169</v>
      </c>
      <c r="C311" s="13">
        <v>15348</v>
      </c>
      <c r="D311" s="13">
        <v>41633</v>
      </c>
      <c r="E311" s="13">
        <v>233395</v>
      </c>
      <c r="F311" s="13">
        <v>809545</v>
      </c>
    </row>
    <row r="312" spans="1:6" x14ac:dyDescent="0.3">
      <c r="A312" s="12" t="s">
        <v>36</v>
      </c>
      <c r="B312" s="12"/>
      <c r="C312" s="12"/>
      <c r="D312" s="12"/>
      <c r="E312" s="12"/>
      <c r="F312" s="12"/>
    </row>
    <row r="313" spans="1:6" x14ac:dyDescent="0.3">
      <c r="A313" s="14" t="s">
        <v>13</v>
      </c>
      <c r="B313" s="13">
        <v>8</v>
      </c>
      <c r="C313" s="13" t="s">
        <v>14</v>
      </c>
      <c r="D313" s="13" t="s">
        <v>14</v>
      </c>
      <c r="E313" s="13" t="s">
        <v>14</v>
      </c>
      <c r="F313" s="13">
        <v>8</v>
      </c>
    </row>
    <row r="314" spans="1:6" x14ac:dyDescent="0.3">
      <c r="A314" s="14" t="s">
        <v>15</v>
      </c>
      <c r="B314" s="13">
        <v>694</v>
      </c>
      <c r="C314" s="13">
        <v>27</v>
      </c>
      <c r="D314" s="13">
        <v>1</v>
      </c>
      <c r="E314" s="13">
        <v>16</v>
      </c>
      <c r="F314" s="13">
        <v>738</v>
      </c>
    </row>
    <row r="315" spans="1:6" x14ac:dyDescent="0.3">
      <c r="A315" s="14" t="s">
        <v>16</v>
      </c>
      <c r="B315" s="13">
        <v>4637</v>
      </c>
      <c r="C315" s="13">
        <v>432</v>
      </c>
      <c r="D315" s="13">
        <v>10</v>
      </c>
      <c r="E315" s="13">
        <v>295</v>
      </c>
      <c r="F315" s="13">
        <v>5374</v>
      </c>
    </row>
    <row r="316" spans="1:6" x14ac:dyDescent="0.3">
      <c r="A316" s="14" t="s">
        <v>17</v>
      </c>
      <c r="B316" s="13">
        <v>9730</v>
      </c>
      <c r="C316" s="13">
        <v>2364</v>
      </c>
      <c r="D316" s="13">
        <v>184</v>
      </c>
      <c r="E316" s="13">
        <v>2562</v>
      </c>
      <c r="F316" s="13">
        <v>14840</v>
      </c>
    </row>
    <row r="317" spans="1:6" x14ac:dyDescent="0.3">
      <c r="A317" s="14" t="s">
        <v>18</v>
      </c>
      <c r="B317" s="13">
        <v>35512</v>
      </c>
      <c r="C317" s="13">
        <v>18720</v>
      </c>
      <c r="D317" s="13">
        <v>3726</v>
      </c>
      <c r="E317" s="13">
        <v>48279</v>
      </c>
      <c r="F317" s="13">
        <v>106237</v>
      </c>
    </row>
    <row r="318" spans="1:6" x14ac:dyDescent="0.3">
      <c r="A318" s="14" t="s">
        <v>19</v>
      </c>
      <c r="B318" s="13">
        <v>17679</v>
      </c>
      <c r="C318" s="13">
        <v>20357</v>
      </c>
      <c r="D318" s="13">
        <v>18216</v>
      </c>
      <c r="E318" s="13">
        <v>91843</v>
      </c>
      <c r="F318" s="13">
        <v>148095</v>
      </c>
    </row>
    <row r="319" spans="1:6" x14ac:dyDescent="0.3">
      <c r="A319" s="14" t="s">
        <v>20</v>
      </c>
      <c r="B319" s="13">
        <v>6260</v>
      </c>
      <c r="C319" s="13">
        <v>14268</v>
      </c>
      <c r="D319" s="13">
        <v>46318</v>
      </c>
      <c r="E319" s="13">
        <v>68533</v>
      </c>
      <c r="F319" s="13">
        <v>135379</v>
      </c>
    </row>
    <row r="320" spans="1:6" x14ac:dyDescent="0.3">
      <c r="A320" s="14" t="s">
        <v>21</v>
      </c>
      <c r="B320" s="13">
        <v>1533</v>
      </c>
      <c r="C320" s="13">
        <v>4226</v>
      </c>
      <c r="D320" s="13">
        <v>44203</v>
      </c>
      <c r="E320" s="13">
        <v>21153</v>
      </c>
      <c r="F320" s="13">
        <v>71115</v>
      </c>
    </row>
    <row r="321" spans="1:6" x14ac:dyDescent="0.3">
      <c r="A321" s="14" t="s">
        <v>22</v>
      </c>
      <c r="B321" s="13">
        <v>333</v>
      </c>
      <c r="C321" s="13">
        <v>704</v>
      </c>
      <c r="D321" s="13">
        <v>31654</v>
      </c>
      <c r="E321" s="13">
        <v>4471</v>
      </c>
      <c r="F321" s="13">
        <v>37162</v>
      </c>
    </row>
    <row r="322" spans="1:6" x14ac:dyDescent="0.3">
      <c r="A322" s="14" t="s">
        <v>23</v>
      </c>
      <c r="B322" s="13">
        <v>110</v>
      </c>
      <c r="C322" s="13">
        <v>85</v>
      </c>
      <c r="D322" s="13">
        <v>16367</v>
      </c>
      <c r="E322" s="13">
        <v>1104</v>
      </c>
      <c r="F322" s="13">
        <v>17666</v>
      </c>
    </row>
    <row r="323" spans="1:6" x14ac:dyDescent="0.3">
      <c r="A323" s="15" t="s">
        <v>10</v>
      </c>
      <c r="B323" s="13">
        <v>76496</v>
      </c>
      <c r="C323" s="13">
        <v>61183</v>
      </c>
      <c r="D323" s="13">
        <v>160679</v>
      </c>
      <c r="E323" s="13">
        <v>238256</v>
      </c>
      <c r="F323" s="13">
        <v>536614</v>
      </c>
    </row>
    <row r="324" spans="1:6" x14ac:dyDescent="0.3">
      <c r="A324" s="14" t="s">
        <v>24</v>
      </c>
      <c r="B324" s="13"/>
      <c r="C324" s="13"/>
      <c r="D324" s="13"/>
      <c r="E324" s="13"/>
      <c r="F324" s="13"/>
    </row>
    <row r="325" spans="1:6" x14ac:dyDescent="0.3">
      <c r="A325" s="16" t="s">
        <v>25</v>
      </c>
      <c r="B325" s="13">
        <v>15069</v>
      </c>
      <c r="C325" s="13">
        <v>2823</v>
      </c>
      <c r="D325" s="13">
        <v>195</v>
      </c>
      <c r="E325" s="13">
        <v>2873</v>
      </c>
      <c r="F325" s="13">
        <v>20960</v>
      </c>
    </row>
    <row r="326" spans="1:6" x14ac:dyDescent="0.3">
      <c r="A326" s="16" t="s">
        <v>26</v>
      </c>
      <c r="B326" s="13">
        <v>59451</v>
      </c>
      <c r="C326" s="13">
        <v>53345</v>
      </c>
      <c r="D326" s="13">
        <v>68260</v>
      </c>
      <c r="E326" s="13">
        <v>208655</v>
      </c>
      <c r="F326" s="13">
        <v>389711</v>
      </c>
    </row>
    <row r="327" spans="1:6" x14ac:dyDescent="0.3">
      <c r="A327" s="16" t="s">
        <v>27</v>
      </c>
      <c r="B327" s="13">
        <v>1976</v>
      </c>
      <c r="C327" s="13">
        <v>5015</v>
      </c>
      <c r="D327" s="13">
        <v>92224</v>
      </c>
      <c r="E327" s="13">
        <v>26728</v>
      </c>
      <c r="F327" s="13">
        <v>125943</v>
      </c>
    </row>
    <row r="328" spans="1:6" x14ac:dyDescent="0.3">
      <c r="A328" s="16" t="s">
        <v>28</v>
      </c>
      <c r="B328" s="13">
        <v>15061</v>
      </c>
      <c r="C328" s="13">
        <v>2823</v>
      </c>
      <c r="D328" s="13">
        <v>195</v>
      </c>
      <c r="E328" s="13">
        <v>2873</v>
      </c>
      <c r="F328" s="13">
        <v>20952</v>
      </c>
    </row>
    <row r="329" spans="1:6" x14ac:dyDescent="0.3">
      <c r="A329" s="16" t="s">
        <v>29</v>
      </c>
      <c r="B329" s="13">
        <v>76488</v>
      </c>
      <c r="C329" s="13">
        <v>61183</v>
      </c>
      <c r="D329" s="13">
        <v>160679</v>
      </c>
      <c r="E329" s="13">
        <v>238256</v>
      </c>
      <c r="F329" s="13">
        <v>536606</v>
      </c>
    </row>
    <row r="330" spans="1:6" x14ac:dyDescent="0.3">
      <c r="A330" s="11" t="s">
        <v>37</v>
      </c>
      <c r="B330" s="11"/>
      <c r="C330" s="11"/>
      <c r="D330" s="11"/>
      <c r="E330" s="11"/>
      <c r="F330" s="11"/>
    </row>
    <row r="331" spans="1:6" x14ac:dyDescent="0.3">
      <c r="A331" s="14" t="s">
        <v>13</v>
      </c>
      <c r="B331" s="13">
        <v>1414565</v>
      </c>
      <c r="C331" s="13" t="s">
        <v>14</v>
      </c>
      <c r="D331" s="13" t="s">
        <v>14</v>
      </c>
      <c r="E331" s="13" t="s">
        <v>14</v>
      </c>
      <c r="F331" s="13">
        <v>1414565</v>
      </c>
    </row>
    <row r="332" spans="1:6" x14ac:dyDescent="0.3">
      <c r="A332" s="14" t="s">
        <v>15</v>
      </c>
      <c r="B332" s="13">
        <v>499628</v>
      </c>
      <c r="C332" s="13" t="s">
        <v>14</v>
      </c>
      <c r="D332" s="13" t="s">
        <v>14</v>
      </c>
      <c r="E332" s="13" t="s">
        <v>14</v>
      </c>
      <c r="F332" s="13">
        <v>499628</v>
      </c>
    </row>
    <row r="333" spans="1:6" x14ac:dyDescent="0.3">
      <c r="A333" s="14" t="s">
        <v>16</v>
      </c>
      <c r="B333" s="13">
        <v>405698</v>
      </c>
      <c r="C333" s="13" t="s">
        <v>14</v>
      </c>
      <c r="D333" s="13" t="s">
        <v>14</v>
      </c>
      <c r="E333" s="13" t="s">
        <v>14</v>
      </c>
      <c r="F333" s="13">
        <v>405698</v>
      </c>
    </row>
    <row r="334" spans="1:6" x14ac:dyDescent="0.3">
      <c r="A334" s="14" t="s">
        <v>17</v>
      </c>
      <c r="B334" s="13">
        <v>251592</v>
      </c>
      <c r="C334" s="13" t="s">
        <v>14</v>
      </c>
      <c r="D334" s="13" t="s">
        <v>14</v>
      </c>
      <c r="E334" s="13" t="s">
        <v>14</v>
      </c>
      <c r="F334" s="13">
        <v>251592</v>
      </c>
    </row>
    <row r="335" spans="1:6" x14ac:dyDescent="0.3">
      <c r="A335" s="14" t="s">
        <v>18</v>
      </c>
      <c r="B335" s="13">
        <v>225241</v>
      </c>
      <c r="C335" s="13" t="s">
        <v>14</v>
      </c>
      <c r="D335" s="13" t="s">
        <v>14</v>
      </c>
      <c r="E335" s="13" t="s">
        <v>14</v>
      </c>
      <c r="F335" s="13">
        <v>225241</v>
      </c>
    </row>
    <row r="336" spans="1:6" x14ac:dyDescent="0.3">
      <c r="A336" s="14" t="s">
        <v>19</v>
      </c>
      <c r="B336" s="13">
        <v>65160</v>
      </c>
      <c r="C336" s="13" t="s">
        <v>14</v>
      </c>
      <c r="D336" s="13" t="s">
        <v>14</v>
      </c>
      <c r="E336" s="13" t="s">
        <v>14</v>
      </c>
      <c r="F336" s="13">
        <v>65160</v>
      </c>
    </row>
    <row r="337" spans="1:6" x14ac:dyDescent="0.3">
      <c r="A337" s="14" t="s">
        <v>20</v>
      </c>
      <c r="B337" s="13">
        <v>26214</v>
      </c>
      <c r="C337" s="13" t="s">
        <v>14</v>
      </c>
      <c r="D337" s="13" t="s">
        <v>14</v>
      </c>
      <c r="E337" s="13" t="s">
        <v>14</v>
      </c>
      <c r="F337" s="13">
        <v>26214</v>
      </c>
    </row>
    <row r="338" spans="1:6" x14ac:dyDescent="0.3">
      <c r="A338" s="14" t="s">
        <v>38</v>
      </c>
      <c r="B338" s="13">
        <v>4551</v>
      </c>
      <c r="C338" s="13" t="s">
        <v>14</v>
      </c>
      <c r="D338" s="13" t="s">
        <v>14</v>
      </c>
      <c r="E338" s="13" t="s">
        <v>14</v>
      </c>
      <c r="F338" s="13">
        <v>4551</v>
      </c>
    </row>
    <row r="339" spans="1:6" x14ac:dyDescent="0.3">
      <c r="A339" s="15" t="s">
        <v>10</v>
      </c>
      <c r="B339" s="13">
        <v>2892649</v>
      </c>
      <c r="C339" s="13" t="s">
        <v>14</v>
      </c>
      <c r="D339" s="13" t="s">
        <v>14</v>
      </c>
      <c r="E339" s="13" t="s">
        <v>14</v>
      </c>
      <c r="F339" s="13">
        <v>2892649</v>
      </c>
    </row>
    <row r="340" spans="1:6" x14ac:dyDescent="0.3">
      <c r="A340" s="14" t="s">
        <v>24</v>
      </c>
      <c r="B340" s="13"/>
      <c r="C340" s="13"/>
      <c r="D340" s="13"/>
      <c r="E340" s="13"/>
      <c r="F340" s="13"/>
    </row>
    <row r="341" spans="1:6" x14ac:dyDescent="0.3">
      <c r="A341" s="16" t="s">
        <v>25</v>
      </c>
      <c r="B341" s="13">
        <v>2571483</v>
      </c>
      <c r="C341" s="13" t="s">
        <v>14</v>
      </c>
      <c r="D341" s="13" t="s">
        <v>14</v>
      </c>
      <c r="E341" s="13" t="s">
        <v>14</v>
      </c>
      <c r="F341" s="13">
        <v>2571483</v>
      </c>
    </row>
    <row r="342" spans="1:6" x14ac:dyDescent="0.3">
      <c r="A342" s="16" t="s">
        <v>26</v>
      </c>
      <c r="B342" s="13">
        <v>316615</v>
      </c>
      <c r="C342" s="13" t="s">
        <v>14</v>
      </c>
      <c r="D342" s="13" t="s">
        <v>14</v>
      </c>
      <c r="E342" s="13" t="s">
        <v>14</v>
      </c>
      <c r="F342" s="13">
        <v>316615</v>
      </c>
    </row>
    <row r="343" spans="1:6" x14ac:dyDescent="0.3">
      <c r="A343" s="16" t="s">
        <v>27</v>
      </c>
      <c r="B343" s="13">
        <v>4551</v>
      </c>
      <c r="C343" s="13" t="s">
        <v>14</v>
      </c>
      <c r="D343" s="13" t="s">
        <v>14</v>
      </c>
      <c r="E343" s="13" t="s">
        <v>14</v>
      </c>
      <c r="F343" s="13">
        <v>4551</v>
      </c>
    </row>
    <row r="344" spans="1:6" x14ac:dyDescent="0.3">
      <c r="A344" s="16" t="s">
        <v>28</v>
      </c>
      <c r="B344" s="13">
        <v>1156918</v>
      </c>
      <c r="C344" s="13" t="s">
        <v>14</v>
      </c>
      <c r="D344" s="13" t="s">
        <v>14</v>
      </c>
      <c r="E344" s="13" t="s">
        <v>14</v>
      </c>
      <c r="F344" s="13">
        <v>1156918</v>
      </c>
    </row>
    <row r="345" spans="1:6" x14ac:dyDescent="0.3">
      <c r="A345" s="16" t="s">
        <v>29</v>
      </c>
      <c r="B345" s="13">
        <v>1478084</v>
      </c>
      <c r="C345" s="13" t="s">
        <v>14</v>
      </c>
      <c r="D345" s="13" t="s">
        <v>14</v>
      </c>
      <c r="E345" s="13" t="s">
        <v>14</v>
      </c>
      <c r="F345" s="13">
        <v>1478084</v>
      </c>
    </row>
    <row r="346" spans="1:6" x14ac:dyDescent="0.3">
      <c r="A346" s="12" t="s">
        <v>39</v>
      </c>
      <c r="B346" s="12"/>
      <c r="C346" s="12"/>
      <c r="D346" s="12"/>
      <c r="E346" s="12"/>
      <c r="F346" s="12"/>
    </row>
    <row r="347" spans="1:6" x14ac:dyDescent="0.3">
      <c r="A347" s="14" t="s">
        <v>13</v>
      </c>
      <c r="B347" s="13">
        <v>386</v>
      </c>
      <c r="C347" s="13" t="s">
        <v>14</v>
      </c>
      <c r="D347" s="13" t="s">
        <v>14</v>
      </c>
      <c r="E347" s="13" t="s">
        <v>14</v>
      </c>
      <c r="F347" s="13">
        <v>386</v>
      </c>
    </row>
    <row r="348" spans="1:6" x14ac:dyDescent="0.3">
      <c r="A348" s="14" t="s">
        <v>15</v>
      </c>
      <c r="B348" s="13">
        <v>6710</v>
      </c>
      <c r="C348" s="13">
        <v>14</v>
      </c>
      <c r="D348" s="13">
        <v>7</v>
      </c>
      <c r="E348" s="13">
        <v>11</v>
      </c>
      <c r="F348" s="13">
        <v>6742</v>
      </c>
    </row>
    <row r="349" spans="1:6" x14ac:dyDescent="0.3">
      <c r="A349" s="14" t="s">
        <v>16</v>
      </c>
      <c r="B349" s="13">
        <v>38949</v>
      </c>
      <c r="C349" s="13">
        <v>346</v>
      </c>
      <c r="D349" s="13">
        <v>24</v>
      </c>
      <c r="E349" s="13">
        <v>137</v>
      </c>
      <c r="F349" s="13">
        <v>39456</v>
      </c>
    </row>
    <row r="350" spans="1:6" x14ac:dyDescent="0.3">
      <c r="A350" s="14" t="s">
        <v>17</v>
      </c>
      <c r="B350" s="13">
        <v>61087</v>
      </c>
      <c r="C350" s="13">
        <v>2536</v>
      </c>
      <c r="D350" s="13">
        <v>50</v>
      </c>
      <c r="E350" s="13">
        <v>1456</v>
      </c>
      <c r="F350" s="13">
        <v>65129</v>
      </c>
    </row>
    <row r="351" spans="1:6" x14ac:dyDescent="0.3">
      <c r="A351" s="14" t="s">
        <v>18</v>
      </c>
      <c r="B351" s="13">
        <v>125796</v>
      </c>
      <c r="C351" s="13">
        <v>14293</v>
      </c>
      <c r="D351" s="13">
        <v>497</v>
      </c>
      <c r="E351" s="13">
        <v>24321</v>
      </c>
      <c r="F351" s="13">
        <v>164907</v>
      </c>
    </row>
    <row r="352" spans="1:6" x14ac:dyDescent="0.3">
      <c r="A352" s="14" t="s">
        <v>19</v>
      </c>
      <c r="B352" s="13">
        <v>56307</v>
      </c>
      <c r="C352" s="13">
        <v>15521</v>
      </c>
      <c r="D352" s="13">
        <v>3804</v>
      </c>
      <c r="E352" s="13">
        <v>55089</v>
      </c>
      <c r="F352" s="13">
        <v>130721</v>
      </c>
    </row>
    <row r="353" spans="1:6" x14ac:dyDescent="0.3">
      <c r="A353" s="14" t="s">
        <v>20</v>
      </c>
      <c r="B353" s="13">
        <v>46430</v>
      </c>
      <c r="C353" s="13">
        <v>24839</v>
      </c>
      <c r="D353" s="13">
        <v>41044</v>
      </c>
      <c r="E353" s="13">
        <v>105301</v>
      </c>
      <c r="F353" s="13">
        <v>217614</v>
      </c>
    </row>
    <row r="354" spans="1:6" x14ac:dyDescent="0.3">
      <c r="A354" s="14" t="s">
        <v>21</v>
      </c>
      <c r="B354" s="13">
        <v>28582</v>
      </c>
      <c r="C354" s="13">
        <v>21515</v>
      </c>
      <c r="D354" s="13">
        <v>125515</v>
      </c>
      <c r="E354" s="13">
        <v>89617</v>
      </c>
      <c r="F354" s="13">
        <v>265229</v>
      </c>
    </row>
    <row r="355" spans="1:6" x14ac:dyDescent="0.3">
      <c r="A355" s="14" t="s">
        <v>22</v>
      </c>
      <c r="B355" s="13">
        <v>14186</v>
      </c>
      <c r="C355" s="13">
        <v>7635</v>
      </c>
      <c r="D355" s="13">
        <v>196183</v>
      </c>
      <c r="E355" s="13">
        <v>38408</v>
      </c>
      <c r="F355" s="13">
        <v>256412</v>
      </c>
    </row>
    <row r="356" spans="1:6" x14ac:dyDescent="0.3">
      <c r="A356" s="14" t="s">
        <v>23</v>
      </c>
      <c r="B356" s="13">
        <v>6447</v>
      </c>
      <c r="C356" s="13">
        <v>1911</v>
      </c>
      <c r="D356" s="13">
        <v>149933</v>
      </c>
      <c r="E356" s="13">
        <v>12251</v>
      </c>
      <c r="F356" s="13">
        <v>170542</v>
      </c>
    </row>
    <row r="357" spans="1:6" x14ac:dyDescent="0.3">
      <c r="A357" s="15" t="s">
        <v>10</v>
      </c>
      <c r="B357" s="13">
        <v>384880</v>
      </c>
      <c r="C357" s="13">
        <v>88610</v>
      </c>
      <c r="D357" s="13">
        <v>517057</v>
      </c>
      <c r="E357" s="13">
        <v>326591</v>
      </c>
      <c r="F357" s="13">
        <v>1317138</v>
      </c>
    </row>
    <row r="358" spans="1:6" x14ac:dyDescent="0.3">
      <c r="A358" s="14" t="s">
        <v>24</v>
      </c>
      <c r="B358" s="13"/>
      <c r="C358" s="13"/>
      <c r="D358" s="13"/>
      <c r="E358" s="13"/>
      <c r="F358" s="13"/>
    </row>
    <row r="359" spans="1:6" x14ac:dyDescent="0.3">
      <c r="A359" s="16" t="s">
        <v>25</v>
      </c>
      <c r="B359" s="13">
        <v>107132</v>
      </c>
      <c r="C359" s="13">
        <v>2896</v>
      </c>
      <c r="D359" s="13">
        <v>81</v>
      </c>
      <c r="E359" s="13">
        <v>1604</v>
      </c>
      <c r="F359" s="13">
        <v>111713</v>
      </c>
    </row>
    <row r="360" spans="1:6" x14ac:dyDescent="0.3">
      <c r="A360" s="16" t="s">
        <v>26</v>
      </c>
      <c r="B360" s="13">
        <v>228533</v>
      </c>
      <c r="C360" s="13">
        <v>54653</v>
      </c>
      <c r="D360" s="13">
        <v>45345</v>
      </c>
      <c r="E360" s="13">
        <v>184711</v>
      </c>
      <c r="F360" s="13">
        <v>513242</v>
      </c>
    </row>
    <row r="361" spans="1:6" x14ac:dyDescent="0.3">
      <c r="A361" s="16" t="s">
        <v>27</v>
      </c>
      <c r="B361" s="13">
        <v>49215</v>
      </c>
      <c r="C361" s="13">
        <v>31061</v>
      </c>
      <c r="D361" s="13">
        <v>471631</v>
      </c>
      <c r="E361" s="13">
        <v>140276</v>
      </c>
      <c r="F361" s="13">
        <v>692183</v>
      </c>
    </row>
    <row r="362" spans="1:6" x14ac:dyDescent="0.3">
      <c r="A362" s="16" t="s">
        <v>28</v>
      </c>
      <c r="B362" s="13">
        <v>106746</v>
      </c>
      <c r="C362" s="13">
        <v>2896</v>
      </c>
      <c r="D362" s="13">
        <v>81</v>
      </c>
      <c r="E362" s="13">
        <v>1604</v>
      </c>
      <c r="F362" s="13">
        <v>111327</v>
      </c>
    </row>
    <row r="363" spans="1:6" x14ac:dyDescent="0.3">
      <c r="A363" s="16" t="s">
        <v>29</v>
      </c>
      <c r="B363" s="13">
        <v>384494</v>
      </c>
      <c r="C363" s="13">
        <v>88610</v>
      </c>
      <c r="D363" s="13">
        <v>517057</v>
      </c>
      <c r="E363" s="13">
        <v>326591</v>
      </c>
      <c r="F363" s="13">
        <v>1316752</v>
      </c>
    </row>
    <row r="364" spans="1:6" x14ac:dyDescent="0.3">
      <c r="A364" s="12" t="s">
        <v>40</v>
      </c>
      <c r="B364" s="12"/>
      <c r="C364" s="12"/>
      <c r="D364" s="12"/>
      <c r="E364" s="12"/>
      <c r="F364" s="12"/>
    </row>
    <row r="365" spans="1:6" x14ac:dyDescent="0.3">
      <c r="A365" s="14" t="s">
        <v>13</v>
      </c>
      <c r="B365" s="13">
        <v>194</v>
      </c>
      <c r="C365" s="13" t="s">
        <v>14</v>
      </c>
      <c r="D365" s="13" t="s">
        <v>14</v>
      </c>
      <c r="E365" s="13" t="s">
        <v>14</v>
      </c>
      <c r="F365" s="13">
        <v>194</v>
      </c>
    </row>
    <row r="366" spans="1:6" x14ac:dyDescent="0.3">
      <c r="A366" s="14" t="s">
        <v>15</v>
      </c>
      <c r="B366" s="13">
        <v>3132</v>
      </c>
      <c r="C366" s="13">
        <v>2</v>
      </c>
      <c r="D366" s="13">
        <v>6</v>
      </c>
      <c r="E366" s="13">
        <v>9</v>
      </c>
      <c r="F366" s="13">
        <v>3149</v>
      </c>
    </row>
    <row r="367" spans="1:6" x14ac:dyDescent="0.3">
      <c r="A367" s="14" t="s">
        <v>16</v>
      </c>
      <c r="B367" s="13">
        <v>19706</v>
      </c>
      <c r="C367" s="13">
        <v>108</v>
      </c>
      <c r="D367" s="13">
        <v>15</v>
      </c>
      <c r="E367" s="13">
        <v>56</v>
      </c>
      <c r="F367" s="13">
        <v>19885</v>
      </c>
    </row>
    <row r="368" spans="1:6" x14ac:dyDescent="0.3">
      <c r="A368" s="14" t="s">
        <v>17</v>
      </c>
      <c r="B368" s="13">
        <v>33254</v>
      </c>
      <c r="C368" s="13">
        <v>1105</v>
      </c>
      <c r="D368" s="13">
        <v>16</v>
      </c>
      <c r="E368" s="13">
        <v>642</v>
      </c>
      <c r="F368" s="13">
        <v>35017</v>
      </c>
    </row>
    <row r="369" spans="1:6" x14ac:dyDescent="0.3">
      <c r="A369" s="14" t="s">
        <v>18</v>
      </c>
      <c r="B369" s="13">
        <v>75775</v>
      </c>
      <c r="C369" s="13">
        <v>9288</v>
      </c>
      <c r="D369" s="13">
        <v>158</v>
      </c>
      <c r="E369" s="13">
        <v>16208</v>
      </c>
      <c r="F369" s="13">
        <v>101429</v>
      </c>
    </row>
    <row r="370" spans="1:6" x14ac:dyDescent="0.3">
      <c r="A370" s="14" t="s">
        <v>19</v>
      </c>
      <c r="B370" s="13">
        <v>37807</v>
      </c>
      <c r="C370" s="13">
        <v>10238</v>
      </c>
      <c r="D370" s="13">
        <v>822</v>
      </c>
      <c r="E370" s="13">
        <v>36926</v>
      </c>
      <c r="F370" s="13">
        <v>85793</v>
      </c>
    </row>
    <row r="371" spans="1:6" x14ac:dyDescent="0.3">
      <c r="A371" s="14" t="s">
        <v>20</v>
      </c>
      <c r="B371" s="13">
        <v>31185</v>
      </c>
      <c r="C371" s="13">
        <v>13728</v>
      </c>
      <c r="D371" s="13">
        <v>7481</v>
      </c>
      <c r="E371" s="13">
        <v>51976</v>
      </c>
      <c r="F371" s="13">
        <v>104370</v>
      </c>
    </row>
    <row r="372" spans="1:6" x14ac:dyDescent="0.3">
      <c r="A372" s="14" t="s">
        <v>21</v>
      </c>
      <c r="B372" s="13">
        <v>14465</v>
      </c>
      <c r="C372" s="13">
        <v>11978</v>
      </c>
      <c r="D372" s="13">
        <v>19304</v>
      </c>
      <c r="E372" s="13">
        <v>35163</v>
      </c>
      <c r="F372" s="13">
        <v>80910</v>
      </c>
    </row>
    <row r="373" spans="1:6" x14ac:dyDescent="0.3">
      <c r="A373" s="14" t="s">
        <v>22</v>
      </c>
      <c r="B373" s="13">
        <v>5463</v>
      </c>
      <c r="C373" s="13">
        <v>4548</v>
      </c>
      <c r="D373" s="13">
        <v>26126</v>
      </c>
      <c r="E373" s="13">
        <v>11029</v>
      </c>
      <c r="F373" s="13">
        <v>47166</v>
      </c>
    </row>
    <row r="374" spans="1:6" x14ac:dyDescent="0.3">
      <c r="A374" s="14" t="s">
        <v>23</v>
      </c>
      <c r="B374" s="13">
        <v>1486</v>
      </c>
      <c r="C374" s="13">
        <v>1251</v>
      </c>
      <c r="D374" s="13">
        <v>24809</v>
      </c>
      <c r="E374" s="13">
        <v>2460</v>
      </c>
      <c r="F374" s="13">
        <v>30006</v>
      </c>
    </row>
    <row r="375" spans="1:6" x14ac:dyDescent="0.3">
      <c r="A375" s="15" t="s">
        <v>10</v>
      </c>
      <c r="B375" s="13">
        <v>222467</v>
      </c>
      <c r="C375" s="13">
        <v>52246</v>
      </c>
      <c r="D375" s="13">
        <v>78737</v>
      </c>
      <c r="E375" s="13">
        <v>154469</v>
      </c>
      <c r="F375" s="13">
        <v>507919</v>
      </c>
    </row>
    <row r="376" spans="1:6" x14ac:dyDescent="0.3">
      <c r="A376" s="14" t="s">
        <v>24</v>
      </c>
      <c r="B376" s="13"/>
      <c r="C376" s="13"/>
      <c r="D376" s="13"/>
      <c r="E376" s="13"/>
      <c r="F376" s="13"/>
    </row>
    <row r="377" spans="1:6" x14ac:dyDescent="0.3">
      <c r="A377" s="16" t="s">
        <v>25</v>
      </c>
      <c r="B377" s="13">
        <v>56286</v>
      </c>
      <c r="C377" s="13">
        <v>1215</v>
      </c>
      <c r="D377" s="13">
        <v>37</v>
      </c>
      <c r="E377" s="13">
        <v>707</v>
      </c>
      <c r="F377" s="13">
        <v>58245</v>
      </c>
    </row>
    <row r="378" spans="1:6" x14ac:dyDescent="0.3">
      <c r="A378" s="16" t="s">
        <v>26</v>
      </c>
      <c r="B378" s="13">
        <v>144767</v>
      </c>
      <c r="C378" s="13">
        <v>33254</v>
      </c>
      <c r="D378" s="13">
        <v>8461</v>
      </c>
      <c r="E378" s="13">
        <v>105110</v>
      </c>
      <c r="F378" s="13">
        <v>291592</v>
      </c>
    </row>
    <row r="379" spans="1:6" x14ac:dyDescent="0.3">
      <c r="A379" s="16" t="s">
        <v>27</v>
      </c>
      <c r="B379" s="13">
        <v>21414</v>
      </c>
      <c r="C379" s="13">
        <v>17777</v>
      </c>
      <c r="D379" s="13">
        <v>70239</v>
      </c>
      <c r="E379" s="13">
        <v>48652</v>
      </c>
      <c r="F379" s="13">
        <v>158082</v>
      </c>
    </row>
    <row r="380" spans="1:6" x14ac:dyDescent="0.3">
      <c r="A380" s="16" t="s">
        <v>28</v>
      </c>
      <c r="B380" s="13">
        <v>56092</v>
      </c>
      <c r="C380" s="13">
        <v>1215</v>
      </c>
      <c r="D380" s="13">
        <v>37</v>
      </c>
      <c r="E380" s="13">
        <v>707</v>
      </c>
      <c r="F380" s="13">
        <v>58051</v>
      </c>
    </row>
    <row r="381" spans="1:6" x14ac:dyDescent="0.3">
      <c r="A381" s="16" t="s">
        <v>29</v>
      </c>
      <c r="B381" s="13">
        <v>222273</v>
      </c>
      <c r="C381" s="13">
        <v>52246</v>
      </c>
      <c r="D381" s="13">
        <v>78737</v>
      </c>
      <c r="E381" s="13">
        <v>154469</v>
      </c>
      <c r="F381" s="13">
        <v>507725</v>
      </c>
    </row>
    <row r="382" spans="1:6" x14ac:dyDescent="0.3">
      <c r="A382" s="12" t="s">
        <v>41</v>
      </c>
      <c r="B382" s="12"/>
      <c r="C382" s="12"/>
      <c r="D382" s="12"/>
      <c r="E382" s="12"/>
      <c r="F382" s="12"/>
    </row>
    <row r="383" spans="1:6" x14ac:dyDescent="0.3">
      <c r="A383" s="14" t="s">
        <v>13</v>
      </c>
      <c r="B383" s="13">
        <v>192</v>
      </c>
      <c r="C383" s="13" t="s">
        <v>14</v>
      </c>
      <c r="D383" s="13" t="s">
        <v>14</v>
      </c>
      <c r="E383" s="13" t="s">
        <v>14</v>
      </c>
      <c r="F383" s="13">
        <v>192</v>
      </c>
    </row>
    <row r="384" spans="1:6" x14ac:dyDescent="0.3">
      <c r="A384" s="14" t="s">
        <v>15</v>
      </c>
      <c r="B384" s="13">
        <v>3578</v>
      </c>
      <c r="C384" s="13">
        <v>12</v>
      </c>
      <c r="D384" s="13">
        <v>1</v>
      </c>
      <c r="E384" s="13">
        <v>2</v>
      </c>
      <c r="F384" s="13">
        <v>3593</v>
      </c>
    </row>
    <row r="385" spans="1:6" x14ac:dyDescent="0.3">
      <c r="A385" s="14" t="s">
        <v>16</v>
      </c>
      <c r="B385" s="13">
        <v>19243</v>
      </c>
      <c r="C385" s="13">
        <v>238</v>
      </c>
      <c r="D385" s="13">
        <v>9</v>
      </c>
      <c r="E385" s="13">
        <v>81</v>
      </c>
      <c r="F385" s="13">
        <v>19571</v>
      </c>
    </row>
    <row r="386" spans="1:6" x14ac:dyDescent="0.3">
      <c r="A386" s="14" t="s">
        <v>17</v>
      </c>
      <c r="B386" s="13">
        <v>27833</v>
      </c>
      <c r="C386" s="13">
        <v>1431</v>
      </c>
      <c r="D386" s="13">
        <v>34</v>
      </c>
      <c r="E386" s="13">
        <v>814</v>
      </c>
      <c r="F386" s="13">
        <v>30112</v>
      </c>
    </row>
    <row r="387" spans="1:6" x14ac:dyDescent="0.3">
      <c r="A387" s="14" t="s">
        <v>18</v>
      </c>
      <c r="B387" s="13">
        <v>50021</v>
      </c>
      <c r="C387" s="13">
        <v>5005</v>
      </c>
      <c r="D387" s="13">
        <v>339</v>
      </c>
      <c r="E387" s="13">
        <v>8113</v>
      </c>
      <c r="F387" s="13">
        <v>63478</v>
      </c>
    </row>
    <row r="388" spans="1:6" x14ac:dyDescent="0.3">
      <c r="A388" s="14" t="s">
        <v>19</v>
      </c>
      <c r="B388" s="13">
        <v>18500</v>
      </c>
      <c r="C388" s="13">
        <v>5283</v>
      </c>
      <c r="D388" s="13">
        <v>2982</v>
      </c>
      <c r="E388" s="13">
        <v>18163</v>
      </c>
      <c r="F388" s="13">
        <v>44928</v>
      </c>
    </row>
    <row r="389" spans="1:6" x14ac:dyDescent="0.3">
      <c r="A389" s="14" t="s">
        <v>20</v>
      </c>
      <c r="B389" s="13">
        <v>15245</v>
      </c>
      <c r="C389" s="13">
        <v>11111</v>
      </c>
      <c r="D389" s="13">
        <v>33563</v>
      </c>
      <c r="E389" s="13">
        <v>53325</v>
      </c>
      <c r="F389" s="13">
        <v>113244</v>
      </c>
    </row>
    <row r="390" spans="1:6" x14ac:dyDescent="0.3">
      <c r="A390" s="14" t="s">
        <v>21</v>
      </c>
      <c r="B390" s="13">
        <v>14117</v>
      </c>
      <c r="C390" s="13">
        <v>9537</v>
      </c>
      <c r="D390" s="13">
        <v>106211</v>
      </c>
      <c r="E390" s="13">
        <v>54454</v>
      </c>
      <c r="F390" s="13">
        <v>184319</v>
      </c>
    </row>
    <row r="391" spans="1:6" x14ac:dyDescent="0.3">
      <c r="A391" s="14" t="s">
        <v>22</v>
      </c>
      <c r="B391" s="13">
        <v>8723</v>
      </c>
      <c r="C391" s="13">
        <v>3087</v>
      </c>
      <c r="D391" s="13">
        <v>170057</v>
      </c>
      <c r="E391" s="13">
        <v>27379</v>
      </c>
      <c r="F391" s="13">
        <v>209246</v>
      </c>
    </row>
    <row r="392" spans="1:6" x14ac:dyDescent="0.3">
      <c r="A392" s="14" t="s">
        <v>23</v>
      </c>
      <c r="B392" s="13">
        <v>4961</v>
      </c>
      <c r="C392" s="13">
        <v>660</v>
      </c>
      <c r="D392" s="13">
        <v>125124</v>
      </c>
      <c r="E392" s="13">
        <v>9791</v>
      </c>
      <c r="F392" s="13">
        <v>140536</v>
      </c>
    </row>
    <row r="393" spans="1:6" x14ac:dyDescent="0.3">
      <c r="A393" s="15" t="s">
        <v>10</v>
      </c>
      <c r="B393" s="13">
        <v>162413</v>
      </c>
      <c r="C393" s="13">
        <v>36364</v>
      </c>
      <c r="D393" s="13">
        <v>438320</v>
      </c>
      <c r="E393" s="13">
        <v>172122</v>
      </c>
      <c r="F393" s="13">
        <v>809219</v>
      </c>
    </row>
    <row r="394" spans="1:6" x14ac:dyDescent="0.3">
      <c r="A394" s="14" t="s">
        <v>24</v>
      </c>
      <c r="B394" s="13"/>
      <c r="C394" s="13"/>
      <c r="D394" s="13"/>
      <c r="E394" s="13"/>
      <c r="F394" s="13"/>
    </row>
    <row r="395" spans="1:6" x14ac:dyDescent="0.3">
      <c r="A395" s="16" t="s">
        <v>25</v>
      </c>
      <c r="B395" s="13">
        <v>50846</v>
      </c>
      <c r="C395" s="13">
        <v>1681</v>
      </c>
      <c r="D395" s="13">
        <v>44</v>
      </c>
      <c r="E395" s="13">
        <v>897</v>
      </c>
      <c r="F395" s="13">
        <v>53468</v>
      </c>
    </row>
    <row r="396" spans="1:6" x14ac:dyDescent="0.3">
      <c r="A396" s="16" t="s">
        <v>26</v>
      </c>
      <c r="B396" s="13">
        <v>83766</v>
      </c>
      <c r="C396" s="13">
        <v>21399</v>
      </c>
      <c r="D396" s="13">
        <v>36884</v>
      </c>
      <c r="E396" s="13">
        <v>79601</v>
      </c>
      <c r="F396" s="13">
        <v>221650</v>
      </c>
    </row>
    <row r="397" spans="1:6" x14ac:dyDescent="0.3">
      <c r="A397" s="16" t="s">
        <v>27</v>
      </c>
      <c r="B397" s="13">
        <v>27801</v>
      </c>
      <c r="C397" s="13">
        <v>13284</v>
      </c>
      <c r="D397" s="13">
        <v>401392</v>
      </c>
      <c r="E397" s="13">
        <v>91624</v>
      </c>
      <c r="F397" s="13">
        <v>534101</v>
      </c>
    </row>
    <row r="398" spans="1:6" x14ac:dyDescent="0.3">
      <c r="A398" s="16" t="s">
        <v>28</v>
      </c>
      <c r="B398" s="13">
        <v>50654</v>
      </c>
      <c r="C398" s="13">
        <v>1681</v>
      </c>
      <c r="D398" s="13">
        <v>44</v>
      </c>
      <c r="E398" s="13">
        <v>897</v>
      </c>
      <c r="F398" s="13">
        <v>53276</v>
      </c>
    </row>
    <row r="399" spans="1:6" x14ac:dyDescent="0.3">
      <c r="A399" s="16" t="s">
        <v>29</v>
      </c>
      <c r="B399" s="13">
        <v>162221</v>
      </c>
      <c r="C399" s="13">
        <v>36364</v>
      </c>
      <c r="D399" s="13">
        <v>438320</v>
      </c>
      <c r="E399" s="13">
        <v>172122</v>
      </c>
      <c r="F399" s="13">
        <v>809027</v>
      </c>
    </row>
  </sheetData>
  <mergeCells count="29">
    <mergeCell ref="F2:F3"/>
    <mergeCell ref="A2:A3"/>
    <mergeCell ref="B3:E3"/>
    <mergeCell ref="A4:F4"/>
    <mergeCell ref="A5:F5"/>
    <mergeCell ref="A23:F23"/>
    <mergeCell ref="A41:F41"/>
    <mergeCell ref="A59:F59"/>
    <mergeCell ref="A60:F60"/>
    <mergeCell ref="A78:F78"/>
    <mergeCell ref="A96:F96"/>
    <mergeCell ref="A114:F114"/>
    <mergeCell ref="A294:F294"/>
    <mergeCell ref="A132:F132"/>
    <mergeCell ref="A148:F148"/>
    <mergeCell ref="A166:F166"/>
    <mergeCell ref="A184:F184"/>
    <mergeCell ref="A202:F202"/>
    <mergeCell ref="A203:F203"/>
    <mergeCell ref="A221:F221"/>
    <mergeCell ref="A239:F239"/>
    <mergeCell ref="A257:F257"/>
    <mergeCell ref="A258:F258"/>
    <mergeCell ref="A276:F276"/>
    <mergeCell ref="A312:F312"/>
    <mergeCell ref="A330:F330"/>
    <mergeCell ref="A346:F346"/>
    <mergeCell ref="A364:F364"/>
    <mergeCell ref="A382:F382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ereses">
                <anchor moveWithCells="1" sizeWithCells="1">
                  <from>
                    <xdr:col>7</xdr:col>
                    <xdr:colOff>541020</xdr:colOff>
                    <xdr:row>1</xdr:row>
                    <xdr:rowOff>129540</xdr:rowOff>
                  </from>
                  <to>
                    <xdr:col>9</xdr:col>
                    <xdr:colOff>45720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62E45-913D-43C9-93FB-959F1927308D}">
  <sheetPr codeName="Munka3"/>
  <dimension ref="A1:B19"/>
  <sheetViews>
    <sheetView workbookViewId="0">
      <selection activeCell="F14" sqref="F14"/>
    </sheetView>
  </sheetViews>
  <sheetFormatPr defaultRowHeight="14.4" x14ac:dyDescent="0.3"/>
  <sheetData>
    <row r="1" spans="1:2" ht="24.6" x14ac:dyDescent="0.3">
      <c r="A1" s="25" t="s">
        <v>42</v>
      </c>
      <c r="B1" s="24"/>
    </row>
    <row r="2" spans="1:2" ht="18" x14ac:dyDescent="0.35">
      <c r="A2" s="26" t="s">
        <v>43</v>
      </c>
      <c r="B2" s="24"/>
    </row>
    <row r="3" spans="1:2" ht="18" x14ac:dyDescent="0.35">
      <c r="A3" s="26" t="s">
        <v>44</v>
      </c>
      <c r="B3" s="24"/>
    </row>
    <row r="4" spans="1:2" ht="18" x14ac:dyDescent="0.35">
      <c r="A4" s="26"/>
      <c r="B4" s="24"/>
    </row>
    <row r="5" spans="1:2" x14ac:dyDescent="0.3">
      <c r="A5" s="27" t="s">
        <v>45</v>
      </c>
      <c r="B5" s="24"/>
    </row>
    <row r="6" spans="1:2" x14ac:dyDescent="0.3">
      <c r="A6" s="24"/>
      <c r="B6" s="28" t="s">
        <v>46</v>
      </c>
    </row>
    <row r="7" spans="1:2" x14ac:dyDescent="0.3">
      <c r="A7" s="24"/>
      <c r="B7" s="24" t="s">
        <v>47</v>
      </c>
    </row>
    <row r="8" spans="1:2" x14ac:dyDescent="0.3">
      <c r="A8" s="24"/>
      <c r="B8" s="24" t="s">
        <v>48</v>
      </c>
    </row>
    <row r="9" spans="1:2" x14ac:dyDescent="0.3">
      <c r="A9" s="24"/>
      <c r="B9" s="24" t="s">
        <v>49</v>
      </c>
    </row>
    <row r="10" spans="1:2" x14ac:dyDescent="0.3">
      <c r="A10" s="24"/>
      <c r="B10" s="24" t="s">
        <v>50</v>
      </c>
    </row>
    <row r="12" spans="1:2" x14ac:dyDescent="0.3">
      <c r="A12" s="27" t="s">
        <v>51</v>
      </c>
      <c r="B12" s="24"/>
    </row>
    <row r="13" spans="1:2" x14ac:dyDescent="0.3">
      <c r="A13" s="24"/>
      <c r="B13" s="28" t="s">
        <v>52</v>
      </c>
    </row>
    <row r="14" spans="1:2" x14ac:dyDescent="0.3">
      <c r="A14" s="24"/>
      <c r="B14" s="24" t="s">
        <v>53</v>
      </c>
    </row>
    <row r="15" spans="1:2" x14ac:dyDescent="0.3">
      <c r="A15" s="24"/>
      <c r="B15" s="24" t="s">
        <v>54</v>
      </c>
    </row>
    <row r="16" spans="1:2" x14ac:dyDescent="0.3">
      <c r="A16" s="24"/>
      <c r="B16" s="24" t="s">
        <v>55</v>
      </c>
    </row>
    <row r="19" spans="2:2" x14ac:dyDescent="0.3">
      <c r="B19" s="24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E49BD-93A3-4C70-B432-46034A9B7DB8}">
  <sheetPr codeName="Munka4"/>
  <dimension ref="A1:A2"/>
  <sheetViews>
    <sheetView workbookViewId="0">
      <selection activeCell="D10" sqref="D10"/>
    </sheetView>
  </sheetViews>
  <sheetFormatPr defaultRowHeight="14.4" x14ac:dyDescent="0.3"/>
  <sheetData>
    <row r="1" spans="1:1" x14ac:dyDescent="0.3">
      <c r="A1" s="29" t="s">
        <v>57</v>
      </c>
    </row>
    <row r="2" spans="1:1" x14ac:dyDescent="0.3">
      <c r="A2" s="30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E7AC9-C5DE-4E53-9700-02BB89B285AA}">
  <sheetPr codeName="Munka5"/>
  <dimension ref="A1"/>
  <sheetViews>
    <sheetView workbookViewId="0">
      <selection activeCell="F19" sqref="F19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5A521-5672-4759-BD8A-3DBBCA7CEE74}">
  <sheetPr codeName="Munka1"/>
  <dimension ref="A1:G22"/>
  <sheetViews>
    <sheetView workbookViewId="0">
      <selection activeCell="G3" sqref="G3"/>
    </sheetView>
  </sheetViews>
  <sheetFormatPr defaultRowHeight="14.4" x14ac:dyDescent="0.3"/>
  <cols>
    <col min="3" max="3" width="10.6640625" bestFit="1" customWidth="1"/>
    <col min="4" max="4" width="10.77734375" bestFit="1" customWidth="1"/>
    <col min="7" max="7" width="10.109375" bestFit="1" customWidth="1"/>
  </cols>
  <sheetData>
    <row r="1" spans="1:7" x14ac:dyDescent="0.3">
      <c r="A1" t="s">
        <v>0</v>
      </c>
      <c r="B1" t="s">
        <v>1</v>
      </c>
      <c r="C1" s="2" t="s">
        <v>2</v>
      </c>
      <c r="D1" s="1" t="s">
        <v>3</v>
      </c>
      <c r="G1" s="3">
        <f ca="1">TODAY()</f>
        <v>44708</v>
      </c>
    </row>
    <row r="2" spans="1:7" x14ac:dyDescent="0.3">
      <c r="B2">
        <v>1</v>
      </c>
      <c r="C2" cm="1">
        <f t="array" ref="C2">IF(B2&lt;&gt;"",_xlfn.AGGREGATE(15,6,ROW(A3:A10000)/NOT(ISNUMBER(A3:A10000)),1)-ROW()-1,"")</f>
        <v>2</v>
      </c>
      <c r="D2" cm="1">
        <f t="array" ref="D2">IF(B2&lt;&gt;"",SUMPRODUCT(MIN(ROW(A3:A10000)*IF(ISNUMBER(A3:A10000),2^99,1)))-ROW()-1,"")</f>
        <v>2</v>
      </c>
      <c r="G2" s="3">
        <v>44718</v>
      </c>
    </row>
    <row r="3" spans="1:7" x14ac:dyDescent="0.3">
      <c r="A3">
        <v>2</v>
      </c>
      <c r="C3" t="str" cm="1">
        <f t="array" ref="C3">IF(B3&lt;&gt;"",_xlfn.AGGREGATE(15,6,ROW(A4:A10001)/NOT(ISNUMBER(A4:A10001)),1)-ROW()-1,"")</f>
        <v/>
      </c>
      <c r="D3" t="str" cm="1">
        <f t="array" ref="D3">IF(B3&lt;&gt;"",SUMPRODUCT(MIN(ROW(A4:A10001)*IF(ISNUMBER(A4:A10001),2^99,1)))-ROW()-1,"")</f>
        <v/>
      </c>
      <c r="G3" s="3">
        <f>_xlfn.AGGREGATE(2,6,A3:A22)+DATE(2022,1,1)</f>
        <v>44580</v>
      </c>
    </row>
    <row r="4" spans="1:7" x14ac:dyDescent="0.3">
      <c r="A4">
        <v>3</v>
      </c>
      <c r="C4" t="str" cm="1">
        <f t="array" ref="C4">IF(B4&lt;&gt;"",_xlfn.AGGREGATE(15,6,ROW(A5:A10002)/NOT(ISNUMBER(A5:A10002)),1)-ROW()-1,"")</f>
        <v/>
      </c>
      <c r="D4" t="str" cm="1">
        <f t="array" ref="D4">IF(B4&lt;&gt;"",SUMPRODUCT(MIN(ROW(A5:A10002)*IF(ISNUMBER(A5:A10002),2^99,1)))-ROW()-1,"")</f>
        <v/>
      </c>
    </row>
    <row r="5" spans="1:7" x14ac:dyDescent="0.3">
      <c r="B5">
        <v>4</v>
      </c>
      <c r="C5" cm="1">
        <f t="array" ref="C5">IF(B5&lt;&gt;"",_xlfn.AGGREGATE(15,6,ROW(A6:A10003)/NOT(ISNUMBER(A6:A10003)),1)-ROW()-1,"")</f>
        <v>1</v>
      </c>
      <c r="D5" cm="1">
        <f t="array" ref="D5">IF(B5&lt;&gt;"",SUMPRODUCT(MIN(ROW(A6:A10003)*IF(ISNUMBER(A6:A10003),2^99,1)))-ROW()-1,"")</f>
        <v>1</v>
      </c>
    </row>
    <row r="6" spans="1:7" x14ac:dyDescent="0.3">
      <c r="A6">
        <v>5</v>
      </c>
      <c r="C6" t="str" cm="1">
        <f t="array" ref="C6">IF(B6&lt;&gt;"",_xlfn.AGGREGATE(15,6,ROW(A7:A10004)/NOT(ISNUMBER(A7:A10004)),1)-ROW()-1,"")</f>
        <v/>
      </c>
      <c r="D6" t="str" cm="1">
        <f t="array" ref="D6">IF(B6&lt;&gt;"",SUMPRODUCT(MIN(ROW(A7:A10004)*IF(ISNUMBER(A7:A10004),2^99,1)))-ROW()-1,"")</f>
        <v/>
      </c>
    </row>
    <row r="7" spans="1:7" x14ac:dyDescent="0.3">
      <c r="B7">
        <v>6</v>
      </c>
      <c r="C7" cm="1">
        <f t="array" ref="C7">IF(B7&lt;&gt;"",_xlfn.AGGREGATE(15,6,ROW(A8:A10005)/NOT(ISNUMBER(A8:A10005)),1)-ROW()-1,"")</f>
        <v>15</v>
      </c>
      <c r="D7" cm="1">
        <f t="array" ref="D7">IF(B7&lt;&gt;"",SUMPRODUCT(MIN(ROW(A8:A10005)*IF(ISNUMBER(A8:A10005),2^99,1)))-ROW()-1,"")</f>
        <v>15</v>
      </c>
    </row>
    <row r="8" spans="1:7" x14ac:dyDescent="0.3">
      <c r="A8">
        <v>7</v>
      </c>
      <c r="C8" t="str" cm="1">
        <f t="array" ref="C8">IF(B8&lt;&gt;"",_xlfn.AGGREGATE(15,6,ROW(A9:A10006)/NOT(ISNUMBER(A9:A10006)),1)-ROW()-1,"")</f>
        <v/>
      </c>
      <c r="D8" t="str" cm="1">
        <f t="array" ref="D8">IF(B8&lt;&gt;"",SUMPRODUCT(MIN(ROW(A9:A10006)*IF(ISNUMBER(A9:A10006),2^99,1)))-ROW()-1,"")</f>
        <v/>
      </c>
    </row>
    <row r="9" spans="1:7" x14ac:dyDescent="0.3">
      <c r="A9">
        <v>8</v>
      </c>
      <c r="C9" t="str" cm="1">
        <f t="array" ref="C9">IF(B9&lt;&gt;"",_xlfn.AGGREGATE(15,6,ROW(A10:A10007)/NOT(ISNUMBER(A10:A10007)),1)-ROW()-1,"")</f>
        <v/>
      </c>
      <c r="D9" t="str" cm="1">
        <f t="array" ref="D9">IF(B9&lt;&gt;"",SUMPRODUCT(MIN(ROW(A10:A10007)*IF(ISNUMBER(A10:A10007),2^99,1)))-ROW()-1,"")</f>
        <v/>
      </c>
    </row>
    <row r="10" spans="1:7" x14ac:dyDescent="0.3">
      <c r="A10">
        <v>9</v>
      </c>
      <c r="C10" t="str" cm="1">
        <f t="array" ref="C10">IF(B10&lt;&gt;"",_xlfn.AGGREGATE(15,6,ROW(A11:A10008)/NOT(ISNUMBER(A11:A10008)),1)-ROW()-1,"")</f>
        <v/>
      </c>
      <c r="D10" t="str" cm="1">
        <f t="array" ref="D10">IF(B10&lt;&gt;"",SUMPRODUCT(MIN(ROW(A11:A10008)*IF(ISNUMBER(A11:A10008),2^99,1)))-ROW()-1,"")</f>
        <v/>
      </c>
    </row>
    <row r="11" spans="1:7" x14ac:dyDescent="0.3">
      <c r="A11">
        <v>10</v>
      </c>
    </row>
    <row r="12" spans="1:7" x14ac:dyDescent="0.3">
      <c r="A12">
        <v>11</v>
      </c>
    </row>
    <row r="13" spans="1:7" x14ac:dyDescent="0.3">
      <c r="A13">
        <v>12</v>
      </c>
    </row>
    <row r="14" spans="1:7" x14ac:dyDescent="0.3">
      <c r="A14">
        <v>13</v>
      </c>
    </row>
    <row r="15" spans="1:7" x14ac:dyDescent="0.3">
      <c r="A15">
        <v>14</v>
      </c>
    </row>
    <row r="16" spans="1:7" x14ac:dyDescent="0.3">
      <c r="A16">
        <v>15</v>
      </c>
    </row>
    <row r="17" spans="1:1" x14ac:dyDescent="0.3">
      <c r="A17">
        <v>16</v>
      </c>
    </row>
    <row r="18" spans="1:1" x14ac:dyDescent="0.3">
      <c r="A18">
        <v>17</v>
      </c>
    </row>
    <row r="19" spans="1:1" x14ac:dyDescent="0.3">
      <c r="A19">
        <v>18</v>
      </c>
    </row>
    <row r="20" spans="1:1" x14ac:dyDescent="0.3">
      <c r="A20">
        <v>19</v>
      </c>
    </row>
    <row r="21" spans="1:1" x14ac:dyDescent="0.3">
      <c r="A21">
        <v>20</v>
      </c>
    </row>
    <row r="22" spans="1:1" x14ac:dyDescent="0.3">
      <c r="A22">
        <v>21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3FACB1-55A1-4CDC-857F-25D07D32F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1.1.1</vt:lpstr>
      <vt:lpstr>Más odik</vt:lpstr>
      <vt:lpstr>Rejtett</vt:lpstr>
      <vt:lpstr>Üres</vt:lpstr>
      <vt:lpstr>Hosszabb munkalapnév</vt:lpstr>
    </vt:vector>
  </TitlesOfParts>
  <Company>KSH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 Szilárd és Melinda</dc:creator>
  <cp:lastModifiedBy>Szilárd</cp:lastModifiedBy>
  <cp:lastPrinted>2015-05-15T09:43:17Z</cp:lastPrinted>
  <dcterms:created xsi:type="dcterms:W3CDTF">2015-01-08T13:17:58Z</dcterms:created>
  <dcterms:modified xsi:type="dcterms:W3CDTF">2022-05-27T07:58:19Z</dcterms:modified>
</cp:coreProperties>
</file>